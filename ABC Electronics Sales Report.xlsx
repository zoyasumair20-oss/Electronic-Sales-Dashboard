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ocuments\"/>
    </mc:Choice>
  </mc:AlternateContent>
  <xr:revisionPtr revIDLastSave="0" documentId="8_{526FFEEE-E5A2-4A5E-969F-97FB44E17BB5}" xr6:coauthVersionLast="47" xr6:coauthVersionMax="47" xr10:uidLastSave="{00000000-0000-0000-0000-000000000000}"/>
  <bookViews>
    <workbookView xWindow="-108" yWindow="-108" windowWidth="23256" windowHeight="12576" activeTab="1" xr2:uid="{CFF59E5E-C796-4551-BDA3-71EB3A536E38}"/>
  </bookViews>
  <sheets>
    <sheet name="Sheet3" sheetId="3" r:id="rId1"/>
    <sheet name="Sheet1" sheetId="1" r:id="rId2"/>
  </sheet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K7" i="1" s="1"/>
  <c r="J51" i="1"/>
  <c r="K51" i="1" s="1"/>
  <c r="L51" i="1" s="1"/>
  <c r="M51" i="1" s="1"/>
  <c r="J50" i="1"/>
  <c r="K50" i="1" s="1"/>
  <c r="J13" i="1"/>
  <c r="K13" i="1" s="1"/>
  <c r="J18" i="1"/>
  <c r="K18" i="1" s="1"/>
  <c r="J10" i="1"/>
  <c r="K10" i="1" s="1"/>
  <c r="J35" i="1"/>
  <c r="K35" i="1" s="1"/>
  <c r="J34" i="1"/>
  <c r="K34" i="1" s="1"/>
  <c r="J38" i="1"/>
  <c r="J31" i="1"/>
  <c r="K31" i="1" s="1"/>
  <c r="J6" i="1"/>
  <c r="K6" i="1" s="1"/>
  <c r="J39" i="1"/>
  <c r="K39" i="1" s="1"/>
  <c r="J36" i="1"/>
  <c r="K36" i="1" s="1"/>
  <c r="J46" i="1"/>
  <c r="K46" i="1" s="1"/>
  <c r="J8" i="1"/>
  <c r="K8" i="1" s="1"/>
  <c r="J48" i="1"/>
  <c r="K48" i="1" s="1"/>
  <c r="J30" i="1"/>
  <c r="K30" i="1" s="1"/>
  <c r="J14" i="1"/>
  <c r="K14" i="1" s="1"/>
  <c r="J32" i="1"/>
  <c r="K32" i="1" s="1"/>
  <c r="J9" i="1"/>
  <c r="K9" i="1" s="1"/>
  <c r="J19" i="1"/>
  <c r="K19" i="1" s="1"/>
  <c r="J17" i="1"/>
  <c r="K17" i="1" s="1"/>
  <c r="J49" i="1"/>
  <c r="K49" i="1" s="1"/>
  <c r="J29" i="1"/>
  <c r="K29" i="1" s="1"/>
  <c r="J47" i="1"/>
  <c r="J3" i="1"/>
  <c r="K3" i="1" s="1"/>
  <c r="L3" i="1" s="1"/>
  <c r="M3" i="1" s="1"/>
  <c r="J11" i="1"/>
  <c r="K11" i="1" s="1"/>
  <c r="J25" i="1"/>
  <c r="K25" i="1" s="1"/>
  <c r="J42" i="1"/>
  <c r="K42" i="1" s="1"/>
  <c r="J22" i="1"/>
  <c r="K22" i="1" s="1"/>
  <c r="J20" i="1"/>
  <c r="K20" i="1" s="1"/>
  <c r="J44" i="1"/>
  <c r="K44" i="1" s="1"/>
  <c r="J12" i="1"/>
  <c r="K12" i="1" s="1"/>
  <c r="J43" i="1"/>
  <c r="K43" i="1" s="1"/>
  <c r="J5" i="1"/>
  <c r="K5" i="1" s="1"/>
  <c r="J16" i="1"/>
  <c r="K16" i="1" s="1"/>
  <c r="J23" i="1"/>
  <c r="K23" i="1" s="1"/>
  <c r="J37" i="1"/>
  <c r="K37" i="1" s="1"/>
  <c r="J40" i="1"/>
  <c r="K40" i="1" s="1"/>
  <c r="J26" i="1"/>
  <c r="K26" i="1" s="1"/>
  <c r="J2" i="1"/>
  <c r="K2" i="1" s="1"/>
  <c r="J28" i="1"/>
  <c r="K28" i="1" s="1"/>
  <c r="J41" i="1"/>
  <c r="K41" i="1" s="1"/>
  <c r="J45" i="1"/>
  <c r="K45" i="1" s="1"/>
  <c r="J33" i="1"/>
  <c r="K33" i="1" s="1"/>
  <c r="J15" i="1"/>
  <c r="K15" i="1" s="1"/>
  <c r="J24" i="1"/>
  <c r="K24" i="1" s="1"/>
  <c r="J21" i="1"/>
  <c r="K21" i="1" s="1"/>
  <c r="J27" i="1"/>
  <c r="J4" i="1"/>
  <c r="K4" i="1" s="1"/>
  <c r="L4" i="1" s="1"/>
  <c r="M4" i="1" s="1"/>
  <c r="F52" i="1"/>
  <c r="J52" i="1" s="1"/>
  <c r="K52" i="1" s="1"/>
  <c r="L33" i="1" l="1"/>
  <c r="M33" i="1" s="1"/>
  <c r="L23" i="1"/>
  <c r="M23" i="1" s="1"/>
  <c r="L36" i="1"/>
  <c r="M36" i="1" s="1"/>
  <c r="L34" i="1"/>
  <c r="M34" i="1" s="1"/>
  <c r="L18" i="1"/>
  <c r="M18" i="1" s="1"/>
  <c r="L28" i="1"/>
  <c r="M28" i="1" s="1"/>
  <c r="L19" i="1"/>
  <c r="M19" i="1" s="1"/>
  <c r="L31" i="1"/>
  <c r="M31" i="1" s="1"/>
  <c r="L42" i="1"/>
  <c r="M42" i="1" s="1"/>
  <c r="L43" i="1"/>
  <c r="M43" i="1" s="1"/>
  <c r="K27" i="1"/>
  <c r="L27" i="1" s="1"/>
  <c r="M27" i="1" s="1"/>
  <c r="L14" i="1"/>
  <c r="M14" i="1" s="1"/>
  <c r="L48" i="1"/>
  <c r="M48" i="1" s="1"/>
  <c r="L24" i="1"/>
  <c r="M24" i="1" s="1"/>
  <c r="L40" i="1"/>
  <c r="M40" i="1" s="1"/>
  <c r="L20" i="1"/>
  <c r="M20" i="1" s="1"/>
  <c r="L49" i="1"/>
  <c r="M49" i="1" s="1"/>
  <c r="L8" i="1"/>
  <c r="M8" i="1" s="1"/>
  <c r="L35" i="1"/>
  <c r="M35" i="1" s="1"/>
  <c r="K47" i="1"/>
  <c r="L47" i="1" s="1"/>
  <c r="M47" i="1" s="1"/>
  <c r="L15" i="1"/>
  <c r="M15" i="1" s="1"/>
  <c r="L37" i="1"/>
  <c r="M37" i="1" s="1"/>
  <c r="L22" i="1"/>
  <c r="M22" i="1" s="1"/>
  <c r="L17" i="1"/>
  <c r="M17" i="1" s="1"/>
  <c r="L46" i="1"/>
  <c r="M46" i="1" s="1"/>
  <c r="L10" i="1"/>
  <c r="M10" i="1" s="1"/>
  <c r="L26" i="1"/>
  <c r="M26" i="1" s="1"/>
  <c r="K38" i="1"/>
  <c r="L38" i="1" s="1"/>
  <c r="M38" i="1" s="1"/>
  <c r="L29" i="1"/>
  <c r="M29" i="1" s="1"/>
  <c r="L45" i="1"/>
  <c r="M45" i="1" s="1"/>
  <c r="L9" i="1"/>
  <c r="M9" i="1" s="1"/>
  <c r="L13" i="1"/>
  <c r="M13" i="1" s="1"/>
  <c r="L16" i="1"/>
  <c r="M16" i="1" s="1"/>
  <c r="L25" i="1"/>
  <c r="M25" i="1" s="1"/>
  <c r="L39" i="1"/>
  <c r="M39" i="1" s="1"/>
  <c r="L52" i="1"/>
  <c r="M52" i="1" s="1"/>
  <c r="L41" i="1"/>
  <c r="M41" i="1" s="1"/>
  <c r="L5" i="1"/>
  <c r="M5" i="1" s="1"/>
  <c r="L11" i="1"/>
  <c r="M11" i="1" s="1"/>
  <c r="L32" i="1"/>
  <c r="M32" i="1" s="1"/>
  <c r="L6" i="1"/>
  <c r="M6" i="1" s="1"/>
  <c r="L50" i="1"/>
  <c r="M50" i="1" s="1"/>
  <c r="L21" i="1"/>
  <c r="M21" i="1" s="1"/>
  <c r="L44" i="1"/>
  <c r="M44" i="1" s="1"/>
  <c r="L2" i="1"/>
  <c r="M2" i="1" s="1"/>
  <c r="L12" i="1"/>
  <c r="M12" i="1" s="1"/>
  <c r="L30" i="1"/>
  <c r="M30" i="1" s="1"/>
  <c r="L7" i="1"/>
  <c r="M7" i="1" s="1"/>
</calcChain>
</file>

<file path=xl/sharedStrings.xml><?xml version="1.0" encoding="utf-8"?>
<sst xmlns="http://schemas.openxmlformats.org/spreadsheetml/2006/main" count="341" uniqueCount="141">
  <si>
    <t>Invoice ID</t>
  </si>
  <si>
    <t>Date</t>
  </si>
  <si>
    <t>Customer</t>
  </si>
  <si>
    <t>Product</t>
  </si>
  <si>
    <t>Category</t>
  </si>
  <si>
    <t>Quantity</t>
  </si>
  <si>
    <t>Unit Price</t>
  </si>
  <si>
    <t>Salesperson</t>
  </si>
  <si>
    <t>City</t>
  </si>
  <si>
    <t>INV001</t>
  </si>
  <si>
    <t>Ali Traders</t>
  </si>
  <si>
    <t>Laptop</t>
  </si>
  <si>
    <t>Electronics</t>
  </si>
  <si>
    <t>Ahmed</t>
  </si>
  <si>
    <t>Lahore</t>
  </si>
  <si>
    <t>INV002</t>
  </si>
  <si>
    <t>Khan Store</t>
  </si>
  <si>
    <t>Mouse</t>
  </si>
  <si>
    <t>Accessories</t>
  </si>
  <si>
    <t>Sara</t>
  </si>
  <si>
    <t>Karachi</t>
  </si>
  <si>
    <t>INV003</t>
  </si>
  <si>
    <t>Tech World</t>
  </si>
  <si>
    <t>Keyboard</t>
  </si>
  <si>
    <t>Islamabad</t>
  </si>
  <si>
    <t>INV004</t>
  </si>
  <si>
    <t>Digital Hub</t>
  </si>
  <si>
    <t>Monitor</t>
  </si>
  <si>
    <t>Bilal</t>
  </si>
  <si>
    <t>Faisalabad</t>
  </si>
  <si>
    <t>INV005</t>
  </si>
  <si>
    <t>City Computers</t>
  </si>
  <si>
    <t>Printer</t>
  </si>
  <si>
    <t>Office</t>
  </si>
  <si>
    <t>INV006</t>
  </si>
  <si>
    <t>Smart Tech</t>
  </si>
  <si>
    <t>Multan</t>
  </si>
  <si>
    <t>INV007</t>
  </si>
  <si>
    <t>Future IT</t>
  </si>
  <si>
    <t>SSD 1TB</t>
  </si>
  <si>
    <t>Storage</t>
  </si>
  <si>
    <t>INV008</t>
  </si>
  <si>
    <t>Computer Zone</t>
  </si>
  <si>
    <t>RAM 16GB</t>
  </si>
  <si>
    <t>INV009</t>
  </si>
  <si>
    <t>Alpha Traders</t>
  </si>
  <si>
    <t>Webcam</t>
  </si>
  <si>
    <t>INV010</t>
  </si>
  <si>
    <t>Mega Solutions</t>
  </si>
  <si>
    <t>UPS</t>
  </si>
  <si>
    <t>Peshawar</t>
  </si>
  <si>
    <t>INV011</t>
  </si>
  <si>
    <t>Vision Tech</t>
  </si>
  <si>
    <t>INV012</t>
  </si>
  <si>
    <t>Bright Solutions</t>
  </si>
  <si>
    <t>INV013</t>
  </si>
  <si>
    <t>IT Zone</t>
  </si>
  <si>
    <t>SSD 512GB</t>
  </si>
  <si>
    <t>INV014</t>
  </si>
  <si>
    <t>Global Traders</t>
  </si>
  <si>
    <t>INV015</t>
  </si>
  <si>
    <t>Digital Point</t>
  </si>
  <si>
    <t>INV016</t>
  </si>
  <si>
    <t>Techno World</t>
  </si>
  <si>
    <t>INV017</t>
  </si>
  <si>
    <t>Smart Office</t>
  </si>
  <si>
    <t>INV018</t>
  </si>
  <si>
    <t>Alpha IT</t>
  </si>
  <si>
    <t>INV019</t>
  </si>
  <si>
    <t>Future Store</t>
  </si>
  <si>
    <t>INV020</t>
  </si>
  <si>
    <t>Nova Systems</t>
  </si>
  <si>
    <t>INV021</t>
  </si>
  <si>
    <t>City Tech</t>
  </si>
  <si>
    <t>INV022</t>
  </si>
  <si>
    <t>Pak Electronics</t>
  </si>
  <si>
    <t>INV023</t>
  </si>
  <si>
    <t>Royal Computers</t>
  </si>
  <si>
    <t>INV024</t>
  </si>
  <si>
    <t>Metro IT</t>
  </si>
  <si>
    <t>INV025</t>
  </si>
  <si>
    <t>Sky Traders</t>
  </si>
  <si>
    <t>INV026</t>
  </si>
  <si>
    <t>Prime Tech</t>
  </si>
  <si>
    <t>INV027</t>
  </si>
  <si>
    <t>Data House</t>
  </si>
  <si>
    <t>INV028</t>
  </si>
  <si>
    <t>Digital Network</t>
  </si>
  <si>
    <t>RAM 8GB</t>
  </si>
  <si>
    <t>INV029</t>
  </si>
  <si>
    <t>Infinity Solutions</t>
  </si>
  <si>
    <t>INV030</t>
  </si>
  <si>
    <t>NextGen IT</t>
  </si>
  <si>
    <t>INV031</t>
  </si>
  <si>
    <t>Future Vision</t>
  </si>
  <si>
    <t>INV032</t>
  </si>
  <si>
    <t>Elite Computers</t>
  </si>
  <si>
    <t>INV033</t>
  </si>
  <si>
    <t>Mega Tech</t>
  </si>
  <si>
    <t>INV034</t>
  </si>
  <si>
    <t>Smart Solutions</t>
  </si>
  <si>
    <t>INV035</t>
  </si>
  <si>
    <t>Horizon IT</t>
  </si>
  <si>
    <t>INV036</t>
  </si>
  <si>
    <t>Express Systems</t>
  </si>
  <si>
    <t>INV037</t>
  </si>
  <si>
    <t>Fast Computers</t>
  </si>
  <si>
    <t>INV038</t>
  </si>
  <si>
    <t>Connect Tech</t>
  </si>
  <si>
    <t>INV039</t>
  </si>
  <si>
    <t>Digital Experts</t>
  </si>
  <si>
    <t>INV040</t>
  </si>
  <si>
    <t>IT Masters</t>
  </si>
  <si>
    <t>INV041</t>
  </si>
  <si>
    <t>Advance Tech</t>
  </si>
  <si>
    <t>INV042</t>
  </si>
  <si>
    <t>Future Electronics</t>
  </si>
  <si>
    <t>INV043</t>
  </si>
  <si>
    <t>Bright IT</t>
  </si>
  <si>
    <t>INV044</t>
  </si>
  <si>
    <t>Prime Systems</t>
  </si>
  <si>
    <t>INV045</t>
  </si>
  <si>
    <t>Dynamic Solutions</t>
  </si>
  <si>
    <t>INV046</t>
  </si>
  <si>
    <t>Galaxy Computers</t>
  </si>
  <si>
    <t>INV047</t>
  </si>
  <si>
    <t>Core Tech</t>
  </si>
  <si>
    <t>INV048</t>
  </si>
  <si>
    <t>Smart Hub</t>
  </si>
  <si>
    <t>INV049</t>
  </si>
  <si>
    <t>Vertex IT</t>
  </si>
  <si>
    <t>INV050</t>
  </si>
  <si>
    <t>Innovate Systems</t>
  </si>
  <si>
    <t>Row Labels</t>
  </si>
  <si>
    <t>Grand Total</t>
  </si>
  <si>
    <t>Total Sale</t>
  </si>
  <si>
    <t>Discount</t>
  </si>
  <si>
    <t>Net Sales</t>
  </si>
  <si>
    <t>GST</t>
  </si>
  <si>
    <t>(blank)</t>
  </si>
  <si>
    <t>Sum of Total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</si>
</sst>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 applyAlignment="1">
      <alignment horizontal="center" vertical="center" wrapText="1"/>
    </xf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0" formatCode="d\-mmm\-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786" refreshedDate="46204.425157291669" createdVersion="8" refreshedVersion="8" minRefreshableVersion="3" recordCount="51" xr:uid="{9E51C211-2F24-4665-A267-D003D42604F2}">
  <cacheSource type="worksheet">
    <worksheetSource name="Table4"/>
  </cacheSource>
  <cacheFields count="13">
    <cacheField name="Invoice ID" numFmtId="0">
      <sharedItems containsBlank="1"/>
    </cacheField>
    <cacheField name="Date" numFmtId="15">
      <sharedItems containsNonDate="0" containsDate="1" containsString="0" containsBlank="1" minDate="2026-01-01T00:00:00" maxDate="2026-01-31T00:00:00"/>
    </cacheField>
    <cacheField name="Customer" numFmtId="0">
      <sharedItems containsBlank="1"/>
    </cacheField>
    <cacheField name="Product" numFmtId="0">
      <sharedItems containsBlank="1"/>
    </cacheField>
    <cacheField name="Category" numFmtId="0">
      <sharedItems containsBlank="1"/>
    </cacheField>
    <cacheField name="Quantity" numFmtId="0">
      <sharedItems containsSemiMixedTypes="0" containsString="0" containsNumber="1" containsInteger="1" minValue="1" maxValue="356000"/>
    </cacheField>
    <cacheField name="Unit Price" numFmtId="0">
      <sharedItems containsString="0" containsBlank="1" containsNumber="1" containsInteger="1" minValue="1100" maxValue="93000"/>
    </cacheField>
    <cacheField name="Salesperson" numFmtId="0">
      <sharedItems containsBlank="1" count="4">
        <s v="Ahmed"/>
        <s v="Sara"/>
        <s v="Bilal"/>
        <m/>
      </sharedItems>
    </cacheField>
    <cacheField name="City" numFmtId="0">
      <sharedItems containsBlank="1" count="7">
        <s v="Karachi"/>
        <s v="Islamabad"/>
        <s v="Lahore"/>
        <s v="Multan"/>
        <s v="Faisalabad"/>
        <s v="Peshawar"/>
        <m/>
      </sharedItems>
    </cacheField>
    <cacheField name="Total Sale" numFmtId="0">
      <sharedItems containsSemiMixedTypes="0" containsString="0" containsNumber="1" containsInteger="1" minValue="-356000" maxValue="0"/>
    </cacheField>
    <cacheField name="Discount" numFmtId="0">
      <sharedItems containsSemiMixedTypes="0" containsString="0" containsNumber="1" containsInteger="1" minValue="0" maxValue="0"/>
    </cacheField>
    <cacheField name="Net Sales" numFmtId="0">
      <sharedItems containsSemiMixedTypes="0" containsString="0" containsNumber="1" containsInteger="1" minValue="-356000" maxValue="0"/>
    </cacheField>
    <cacheField name="GST" numFmtId="0">
      <sharedItems containsSemiMixedTypes="0" containsString="0" containsNumber="1" containsInteger="1" minValue="-640800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s v="INV041"/>
    <d v="2026-01-26T00:00:00"/>
    <s v="Advance Tech"/>
    <s v="Laptop"/>
    <s v="Electronics"/>
    <n v="4"/>
    <n v="89000"/>
    <x v="0"/>
    <x v="0"/>
    <n v="-356000"/>
    <n v="0"/>
    <n v="-356000"/>
    <n v="-6408000"/>
  </r>
  <r>
    <s v="INV026"/>
    <d v="2026-01-18T00:00:00"/>
    <s v="Prime Tech"/>
    <s v="Laptop"/>
    <s v="Electronics"/>
    <n v="3"/>
    <n v="88000"/>
    <x v="0"/>
    <x v="1"/>
    <n v="-264000"/>
    <n v="0"/>
    <n v="-264000"/>
    <n v="-4752000"/>
  </r>
  <r>
    <s v="INV050"/>
    <d v="2026-01-30T00:00:00"/>
    <s v="Innovate Systems"/>
    <s v="Laptop"/>
    <s v="Electronics"/>
    <n v="2"/>
    <n v="93000"/>
    <x v="0"/>
    <x v="2"/>
    <n v="-186000"/>
    <n v="0"/>
    <n v="-186000"/>
    <n v="-3348000"/>
  </r>
  <r>
    <s v="INV035"/>
    <d v="2026-01-23T00:00:00"/>
    <s v="Horizon IT"/>
    <s v="Laptop"/>
    <s v="Electronics"/>
    <n v="2"/>
    <n v="91000"/>
    <x v="0"/>
    <x v="3"/>
    <n v="-182000"/>
    <n v="0"/>
    <n v="-182000"/>
    <n v="-3276000"/>
  </r>
  <r>
    <s v="INV011"/>
    <d v="2026-01-11T00:00:00"/>
    <s v="Vision Tech"/>
    <s v="Laptop"/>
    <s v="Electronics"/>
    <n v="2"/>
    <n v="87000"/>
    <x v="0"/>
    <x v="2"/>
    <n v="-174000"/>
    <n v="0"/>
    <n v="-174000"/>
    <n v="-3132000"/>
  </r>
  <r>
    <s v="INV001"/>
    <d v="2026-01-01T00:00:00"/>
    <s v="Ali Traders"/>
    <s v="Laptop"/>
    <s v="Electronics"/>
    <n v="2"/>
    <n v="85000"/>
    <x v="0"/>
    <x v="2"/>
    <n v="-170000"/>
    <n v="0"/>
    <n v="-170000"/>
    <n v="-3060000"/>
  </r>
  <r>
    <s v="INV015"/>
    <d v="2026-01-13T00:00:00"/>
    <s v="Digital Point"/>
    <s v="Monitor"/>
    <s v="Electronics"/>
    <n v="4"/>
    <n v="29000"/>
    <x v="1"/>
    <x v="3"/>
    <n v="-116000"/>
    <n v="0"/>
    <n v="-116000"/>
    <n v="-2088000"/>
  </r>
  <r>
    <s v="INV020"/>
    <d v="2026-01-15T00:00:00"/>
    <s v="Nova Systems"/>
    <s v="Laptop"/>
    <s v="Electronics"/>
    <n v="1"/>
    <n v="92000"/>
    <x v="0"/>
    <x v="1"/>
    <n v="-92000"/>
    <n v="0"/>
    <n v="-92000"/>
    <n v="-1656000"/>
  </r>
  <r>
    <s v="INV006"/>
    <d v="2026-01-06T00:00:00"/>
    <s v="Smart Tech"/>
    <s v="Laptop"/>
    <s v="Electronics"/>
    <n v="1"/>
    <n v="90000"/>
    <x v="0"/>
    <x v="3"/>
    <n v="-90000"/>
    <n v="0"/>
    <n v="-90000"/>
    <n v="-1620000"/>
  </r>
  <r>
    <s v="INV027"/>
    <d v="2026-01-19T00:00:00"/>
    <s v="Data House"/>
    <s v="UPS"/>
    <s v="Electronics"/>
    <n v="5"/>
    <n v="18000"/>
    <x v="1"/>
    <x v="0"/>
    <n v="-90000"/>
    <n v="0"/>
    <n v="-90000"/>
    <n v="-1620000"/>
  </r>
  <r>
    <s v="INV033"/>
    <d v="2026-01-22T00:00:00"/>
    <s v="Mega Tech"/>
    <s v="Monitor"/>
    <s v="Electronics"/>
    <n v="3"/>
    <n v="30000"/>
    <x v="1"/>
    <x v="2"/>
    <n v="-90000"/>
    <n v="0"/>
    <n v="-90000"/>
    <n v="-1620000"/>
  </r>
  <r>
    <s v="INV004"/>
    <d v="2026-01-04T00:00:00"/>
    <s v="Digital Hub"/>
    <s v="Monitor"/>
    <s v="Electronics"/>
    <n v="3"/>
    <n v="28000"/>
    <x v="2"/>
    <x v="4"/>
    <n v="-84000"/>
    <n v="0"/>
    <n v="-84000"/>
    <n v="-1512000"/>
  </r>
  <r>
    <s v="INV018"/>
    <d v="2026-01-14T00:00:00"/>
    <s v="Alpha IT"/>
    <s v="RAM 16GB"/>
    <s v="Storage"/>
    <n v="10"/>
    <n v="8200"/>
    <x v="1"/>
    <x v="2"/>
    <n v="-82000"/>
    <n v="0"/>
    <n v="-82000"/>
    <n v="-1476000"/>
  </r>
  <r>
    <s v="INV046"/>
    <d v="2026-01-28T00:00:00"/>
    <s v="Galaxy Computers"/>
    <s v="RAM 8GB"/>
    <s v="Storage"/>
    <n v="20"/>
    <n v="4000"/>
    <x v="2"/>
    <x v="0"/>
    <n v="-80000"/>
    <n v="0"/>
    <n v="-80000"/>
    <n v="-1440000"/>
  </r>
  <r>
    <s v="INV036"/>
    <d v="2026-01-23T00:00:00"/>
    <s v="Express Systems"/>
    <s v="UPS"/>
    <s v="Electronics"/>
    <n v="4"/>
    <n v="19000"/>
    <x v="1"/>
    <x v="2"/>
    <n v="-76000"/>
    <n v="0"/>
    <n v="-76000"/>
    <n v="-1368000"/>
  </r>
  <r>
    <s v="INV022"/>
    <d v="2026-01-16T00:00:00"/>
    <s v="Pak Electronics"/>
    <s v="SSD 1TB"/>
    <s v="Storage"/>
    <n v="6"/>
    <n v="12500"/>
    <x v="2"/>
    <x v="3"/>
    <n v="-75000"/>
    <n v="0"/>
    <n v="-75000"/>
    <n v="-1350000"/>
  </r>
  <r>
    <s v="INV005"/>
    <d v="2026-01-05T00:00:00"/>
    <s v="City Computers"/>
    <s v="Printer"/>
    <s v="Office"/>
    <n v="2"/>
    <n v="35000"/>
    <x v="1"/>
    <x v="2"/>
    <n v="-70000"/>
    <n v="0"/>
    <n v="-70000"/>
    <n v="-1260000"/>
  </r>
  <r>
    <s v="INV021"/>
    <d v="2026-01-16T00:00:00"/>
    <s v="City Tech"/>
    <s v="Printer"/>
    <s v="Office"/>
    <n v="2"/>
    <n v="35000"/>
    <x v="1"/>
    <x v="2"/>
    <n v="-70000"/>
    <n v="0"/>
    <n v="-70000"/>
    <n v="-1260000"/>
  </r>
  <r>
    <s v="INV031"/>
    <d v="2026-01-21T00:00:00"/>
    <s v="Future Vision"/>
    <s v="SSD 512GB"/>
    <s v="Storage"/>
    <n v="8"/>
    <n v="8700"/>
    <x v="2"/>
    <x v="1"/>
    <n v="-69600"/>
    <n v="0"/>
    <n v="-69600"/>
    <n v="-1252800"/>
  </r>
  <r>
    <s v="INV048"/>
    <d v="2026-01-29T00:00:00"/>
    <s v="Smart Hub"/>
    <s v="Printer"/>
    <s v="Office"/>
    <n v="2"/>
    <n v="34500"/>
    <x v="1"/>
    <x v="1"/>
    <n v="-69000"/>
    <n v="0"/>
    <n v="-69000"/>
    <n v="-1242000"/>
  </r>
  <r>
    <s v="INV030"/>
    <d v="2026-01-20T00:00:00"/>
    <s v="NextGen IT"/>
    <s v="Printer"/>
    <s v="Office"/>
    <n v="2"/>
    <n v="34000"/>
    <x v="1"/>
    <x v="5"/>
    <n v="-68000"/>
    <n v="0"/>
    <n v="-68000"/>
    <n v="-1224000"/>
  </r>
  <r>
    <s v="INV037"/>
    <d v="2026-01-24T00:00:00"/>
    <s v="Fast Computers"/>
    <s v="RAM 16GB"/>
    <s v="Storage"/>
    <n v="8"/>
    <n v="8500"/>
    <x v="2"/>
    <x v="0"/>
    <n v="-68000"/>
    <n v="0"/>
    <n v="-68000"/>
    <n v="-1224000"/>
  </r>
  <r>
    <s v="INV047"/>
    <d v="2026-01-29T00:00:00"/>
    <s v="Core Tech"/>
    <s v="Webcam"/>
    <s v="Accessories"/>
    <n v="15"/>
    <n v="4300"/>
    <x v="0"/>
    <x v="2"/>
    <n v="-64500"/>
    <n v="0"/>
    <n v="-64500"/>
    <n v="-1161000"/>
  </r>
  <r>
    <s v="INV028"/>
    <d v="2026-01-19T00:00:00"/>
    <s v="Digital Network"/>
    <s v="RAM 8GB"/>
    <s v="Storage"/>
    <n v="15"/>
    <n v="4200"/>
    <x v="2"/>
    <x v="3"/>
    <n v="-63000"/>
    <n v="0"/>
    <n v="-63000"/>
    <n v="-1134000"/>
  </r>
  <r>
    <s v="INV040"/>
    <d v="2026-01-25T00:00:00"/>
    <s v="IT Masters"/>
    <s v="SSD 1TB"/>
    <s v="Storage"/>
    <n v="5"/>
    <n v="12200"/>
    <x v="2"/>
    <x v="5"/>
    <n v="-61000"/>
    <n v="0"/>
    <n v="-61000"/>
    <n v="-1098000"/>
  </r>
  <r>
    <s v="INV049"/>
    <d v="2026-01-30T00:00:00"/>
    <s v="Vertex IT"/>
    <s v="SSD 512GB"/>
    <s v="Storage"/>
    <n v="7"/>
    <n v="8600"/>
    <x v="2"/>
    <x v="3"/>
    <n v="-60200"/>
    <n v="0"/>
    <n v="-60200"/>
    <n v="-1083600"/>
  </r>
  <r>
    <s v="INV042"/>
    <d v="2026-01-26T00:00:00"/>
    <s v="Future Electronics"/>
    <s v="Monitor"/>
    <s v="Electronics"/>
    <n v="2"/>
    <n v="29500"/>
    <x v="1"/>
    <x v="3"/>
    <n v="-59000"/>
    <n v="0"/>
    <n v="-59000"/>
    <n v="-1062000"/>
  </r>
  <r>
    <s v="INV024"/>
    <d v="2026-01-17T00:00:00"/>
    <s v="Metro IT"/>
    <s v="Monitor"/>
    <s v="Electronics"/>
    <n v="2"/>
    <n v="28000"/>
    <x v="1"/>
    <x v="4"/>
    <n v="-56000"/>
    <n v="0"/>
    <n v="-56000"/>
    <n v="-1008000"/>
  </r>
  <r>
    <s v="INV017"/>
    <d v="2026-01-14T00:00:00"/>
    <s v="Smart Office"/>
    <s v="UPS"/>
    <s v="Electronics"/>
    <n v="3"/>
    <n v="18500"/>
    <x v="0"/>
    <x v="5"/>
    <n v="-55500"/>
    <n v="0"/>
    <n v="-55500"/>
    <n v="-999000"/>
  </r>
  <r>
    <s v="INV010"/>
    <d v="2026-01-10T00:00:00"/>
    <s v="Mega Solutions"/>
    <s v="UPS"/>
    <s v="Electronics"/>
    <n v="3"/>
    <n v="18000"/>
    <x v="2"/>
    <x v="5"/>
    <n v="-54000"/>
    <n v="0"/>
    <n v="-54000"/>
    <n v="-972000"/>
  </r>
  <r>
    <s v="INV019"/>
    <d v="2026-01-15T00:00:00"/>
    <s v="Future Store"/>
    <s v="Webcam"/>
    <s v="Accessories"/>
    <n v="12"/>
    <n v="4500"/>
    <x v="2"/>
    <x v="0"/>
    <n v="-54000"/>
    <n v="0"/>
    <n v="-54000"/>
    <n v="-972000"/>
  </r>
  <r>
    <s v="INV045"/>
    <d v="2026-01-28T00:00:00"/>
    <s v="Dynamic Solutions"/>
    <s v="UPS"/>
    <s v="Electronics"/>
    <n v="3"/>
    <n v="17500"/>
    <x v="1"/>
    <x v="4"/>
    <n v="-52500"/>
    <n v="0"/>
    <n v="-52500"/>
    <n v="-945000"/>
  </r>
  <r>
    <s v="INV008"/>
    <d v="2026-01-08T00:00:00"/>
    <s v="Computer Zone"/>
    <s v="RAM 16GB"/>
    <s v="Storage"/>
    <n v="6"/>
    <n v="8500"/>
    <x v="1"/>
    <x v="2"/>
    <n v="-51000"/>
    <n v="0"/>
    <n v="-51000"/>
    <n v="-918000"/>
  </r>
  <r>
    <s v="INV007"/>
    <d v="2026-01-07T00:00:00"/>
    <s v="Future IT"/>
    <s v="SSD 1TB"/>
    <s v="Storage"/>
    <n v="4"/>
    <n v="12000"/>
    <x v="2"/>
    <x v="0"/>
    <n v="-48000"/>
    <n v="0"/>
    <n v="-48000"/>
    <n v="-864000"/>
  </r>
  <r>
    <s v="INV013"/>
    <d v="2026-01-12T00:00:00"/>
    <s v="IT Zone"/>
    <s v="SSD 512GB"/>
    <s v="Storage"/>
    <n v="5"/>
    <n v="8500"/>
    <x v="2"/>
    <x v="1"/>
    <n v="-42500"/>
    <n v="0"/>
    <n v="-42500"/>
    <n v="-765000"/>
  </r>
  <r>
    <s v="INV038"/>
    <d v="2026-01-24T00:00:00"/>
    <s v="Connect Tech"/>
    <s v="Webcam"/>
    <s v="Accessories"/>
    <n v="9"/>
    <n v="4400"/>
    <x v="0"/>
    <x v="1"/>
    <n v="-39600"/>
    <n v="0"/>
    <n v="-39600"/>
    <n v="-712800"/>
  </r>
  <r>
    <s v="INV009"/>
    <d v="2026-01-09T00:00:00"/>
    <s v="Alpha Traders"/>
    <s v="Webcam"/>
    <s v="Accessories"/>
    <n v="8"/>
    <n v="4500"/>
    <x v="0"/>
    <x v="1"/>
    <n v="-36000"/>
    <n v="0"/>
    <n v="-36000"/>
    <n v="-648000"/>
  </r>
  <r>
    <s v="INV012"/>
    <d v="2026-01-11T00:00:00"/>
    <s v="Bright Solutions"/>
    <s v="Printer"/>
    <s v="Office"/>
    <n v="1"/>
    <n v="36000"/>
    <x v="1"/>
    <x v="0"/>
    <n v="-36000"/>
    <n v="0"/>
    <n v="-36000"/>
    <n v="-648000"/>
  </r>
  <r>
    <s v="INV039"/>
    <d v="2026-01-25T00:00:00"/>
    <s v="Digital Experts"/>
    <s v="Printer"/>
    <s v="Office"/>
    <n v="1"/>
    <n v="35500"/>
    <x v="1"/>
    <x v="2"/>
    <n v="-35500"/>
    <n v="0"/>
    <n v="-35500"/>
    <n v="-639000"/>
  </r>
  <r>
    <s v="INV043"/>
    <d v="2026-01-27T00:00:00"/>
    <s v="Bright IT"/>
    <s v="Mouse"/>
    <s v="Accessories"/>
    <n v="30"/>
    <n v="1100"/>
    <x v="2"/>
    <x v="2"/>
    <n v="-33000"/>
    <n v="0"/>
    <n v="-33000"/>
    <n v="-594000"/>
  </r>
  <r>
    <s v="INV029"/>
    <d v="2026-01-20T00:00:00"/>
    <s v="Infinity Solutions"/>
    <s v="Webcam"/>
    <s v="Accessories"/>
    <n v="7"/>
    <n v="4600"/>
    <x v="0"/>
    <x v="2"/>
    <n v="-32200"/>
    <n v="0"/>
    <n v="-32200"/>
    <n v="-579600"/>
  </r>
  <r>
    <s v="INV034"/>
    <d v="2026-01-22T00:00:00"/>
    <s v="Smart Solutions"/>
    <s v="Keyboard"/>
    <s v="Accessories"/>
    <n v="12"/>
    <n v="2500"/>
    <x v="2"/>
    <x v="4"/>
    <n v="-30000"/>
    <n v="0"/>
    <n v="-30000"/>
    <n v="-540000"/>
  </r>
  <r>
    <s v="INV032"/>
    <d v="2026-01-21T00:00:00"/>
    <s v="Elite Computers"/>
    <s v="Mouse"/>
    <s v="Accessories"/>
    <n v="25"/>
    <n v="1150"/>
    <x v="0"/>
    <x v="0"/>
    <n v="-28750"/>
    <n v="0"/>
    <n v="-28750"/>
    <n v="-517500"/>
  </r>
  <r>
    <s v="INV044"/>
    <d v="2026-01-27T00:00:00"/>
    <s v="Prime Systems"/>
    <s v="Keyboard"/>
    <s v="Accessories"/>
    <n v="10"/>
    <n v="2600"/>
    <x v="0"/>
    <x v="1"/>
    <n v="-26000"/>
    <n v="0"/>
    <n v="-26000"/>
    <n v="-468000"/>
  </r>
  <r>
    <s v="INV014"/>
    <d v="2026-01-12T00:00:00"/>
    <s v="Global Traders"/>
    <s v="Mouse"/>
    <s v="Accessories"/>
    <n v="20"/>
    <n v="1200"/>
    <x v="0"/>
    <x v="2"/>
    <n v="-24000"/>
    <n v="0"/>
    <n v="-24000"/>
    <n v="-432000"/>
  </r>
  <r>
    <s v="INV025"/>
    <d v="2026-01-18T00:00:00"/>
    <s v="Sky Traders"/>
    <s v="Keyboard"/>
    <s v="Accessories"/>
    <n v="10"/>
    <n v="2400"/>
    <x v="2"/>
    <x v="2"/>
    <n v="-24000"/>
    <n v="0"/>
    <n v="-24000"/>
    <n v="-432000"/>
  </r>
  <r>
    <s v="INV016"/>
    <d v="2026-01-13T00:00:00"/>
    <s v="Techno World"/>
    <s v="Keyboard"/>
    <s v="Accessories"/>
    <n v="8"/>
    <n v="2500"/>
    <x v="2"/>
    <x v="4"/>
    <n v="-20000"/>
    <n v="0"/>
    <n v="-20000"/>
    <n v="-360000"/>
  </r>
  <r>
    <s v="INV023"/>
    <d v="2026-01-17T00:00:00"/>
    <s v="Royal Computers"/>
    <s v="Mouse"/>
    <s v="Accessories"/>
    <n v="15"/>
    <n v="1200"/>
    <x v="0"/>
    <x v="0"/>
    <n v="-18000"/>
    <n v="0"/>
    <n v="-18000"/>
    <n v="-324000"/>
  </r>
  <r>
    <s v="INV003"/>
    <d v="2026-01-03T00:00:00"/>
    <s v="Tech World"/>
    <s v="Keyboard"/>
    <s v="Accessories"/>
    <n v="5"/>
    <n v="2500"/>
    <x v="0"/>
    <x v="1"/>
    <n v="-12500"/>
    <n v="0"/>
    <n v="-12500"/>
    <n v="-225000"/>
  </r>
  <r>
    <s v="INV002"/>
    <d v="2026-01-02T00:00:00"/>
    <s v="Khan Store"/>
    <s v="Mouse"/>
    <s v="Accessories"/>
    <n v="10"/>
    <n v="1200"/>
    <x v="1"/>
    <x v="0"/>
    <n v="-12000"/>
    <n v="0"/>
    <n v="-12000"/>
    <n v="-216000"/>
  </r>
  <r>
    <m/>
    <m/>
    <m/>
    <m/>
    <m/>
    <n v="356000"/>
    <m/>
    <x v="3"/>
    <x v="6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F657E0-6584-49BC-9C5E-841C9F1D6252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axis="axisRow" showAll="0">
      <items count="8">
        <item x="4"/>
        <item x="1"/>
        <item x="0"/>
        <item x="2"/>
        <item x="3"/>
        <item x="5"/>
        <item x="6"/>
        <item t="default"/>
      </items>
    </pivotField>
    <pivotField dataField="1" showAll="0"/>
    <pivotField showAll="0"/>
    <pivotField showAll="0"/>
    <pivotField showAll="0"/>
  </pivotFields>
  <rowFields count="2">
    <field x="8"/>
    <field x="7"/>
  </rowFields>
  <rowItems count="26">
    <i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 v="3"/>
    </i>
    <i t="grand">
      <x/>
    </i>
  </rowItems>
  <colItems count="1">
    <i/>
  </colItems>
  <dataFields count="1">
    <dataField name="Sum of Total Sal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810E6E-CFD8-4AF6-9DC8-5E1D488AC7E1}" name="Table4" displayName="Table4" ref="A1:M52" totalsRowShown="0" headerRowDxfId="4" dataDxfId="5">
  <autoFilter ref="A1:M52" xr:uid="{5C810E6E-CFD8-4AF6-9DC8-5E1D488AC7E1}"/>
  <sortState xmlns:xlrd2="http://schemas.microsoft.com/office/spreadsheetml/2017/richdata2" ref="A2:M52">
    <sortCondition ref="J1:J52"/>
  </sortState>
  <tableColumns count="13">
    <tableColumn id="1" xr3:uid="{91323010-95D7-4FD4-86A6-A4865E7D2942}" name="Invoice ID" dataDxfId="14"/>
    <tableColumn id="2" xr3:uid="{0F57F48A-9152-423E-8E25-F3ACF9B9D5AD}" name="Date" dataDxfId="13"/>
    <tableColumn id="3" xr3:uid="{E9360039-2AFE-4C4A-9823-FE9694B9E5ED}" name="Customer" dataDxfId="12"/>
    <tableColumn id="4" xr3:uid="{FE9C2130-8C4A-4E96-9BE2-0BE040496982}" name="Product" dataDxfId="11"/>
    <tableColumn id="5" xr3:uid="{E4370233-AE64-43B8-BFE5-51F007C5A7B2}" name="Category" dataDxfId="10"/>
    <tableColumn id="6" xr3:uid="{D08D6B27-EA09-4FE5-AA9F-FE21A8CD5432}" name="Quantity" dataDxfId="9"/>
    <tableColumn id="7" xr3:uid="{99FF22EF-BD7A-4861-B558-ECDE8977A917}" name="Unit Price" dataDxfId="8"/>
    <tableColumn id="8" xr3:uid="{EDB8116C-204D-470E-A291-C31D2FBC6FA7}" name="Salesperson" dataDxfId="7"/>
    <tableColumn id="9" xr3:uid="{B2687D7E-9713-48BB-BF19-36DAAB8C4C15}" name="City" dataDxfId="6"/>
    <tableColumn id="10" xr3:uid="{F6CFEDD1-9596-48B1-AA10-034F882DDFA6}" name="Total Sale" dataDxfId="3">
      <calculatedColumnFormula>F2*-G2</calculatedColumnFormula>
    </tableColumn>
    <tableColumn id="11" xr3:uid="{DD7FA6D3-6E27-4E06-AD9D-B0568E4A771A}" name="Discount" dataDxfId="2">
      <calculatedColumnFormula>IF(J2&gt;100000,J2*10%,0)</calculatedColumnFormula>
    </tableColumn>
    <tableColumn id="12" xr3:uid="{3C4F7C05-DD72-4010-8076-AE6B38684BD2}" name="Net Sales" dataDxfId="1">
      <calculatedColumnFormula>J2-K2</calculatedColumnFormula>
    </tableColumn>
    <tableColumn id="13" xr3:uid="{0E2CCC8C-2255-4BCA-B44F-AAB64F821DCE}" name="GST" dataDxfId="0">
      <calculatedColumnFormula>L2*18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2BEDA-0509-47C7-B149-0C7F70A6E5C1}">
  <dimension ref="A3:B2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5.6640625" bestFit="1" customWidth="1"/>
  </cols>
  <sheetData>
    <row r="3" spans="1:2" x14ac:dyDescent="0.3">
      <c r="A3" s="4" t="s">
        <v>133</v>
      </c>
      <c r="B3" t="s">
        <v>140</v>
      </c>
    </row>
    <row r="4" spans="1:2" x14ac:dyDescent="0.3">
      <c r="A4" s="5" t="s">
        <v>29</v>
      </c>
      <c r="B4" s="8">
        <v>-242500</v>
      </c>
    </row>
    <row r="5" spans="1:2" x14ac:dyDescent="0.3">
      <c r="A5" s="6" t="s">
        <v>28</v>
      </c>
      <c r="B5" s="8">
        <v>-134000</v>
      </c>
    </row>
    <row r="6" spans="1:2" x14ac:dyDescent="0.3">
      <c r="A6" s="6" t="s">
        <v>19</v>
      </c>
      <c r="B6" s="8">
        <v>-108500</v>
      </c>
    </row>
    <row r="7" spans="1:2" x14ac:dyDescent="0.3">
      <c r="A7" s="5" t="s">
        <v>24</v>
      </c>
      <c r="B7" s="8">
        <v>-651200</v>
      </c>
    </row>
    <row r="8" spans="1:2" x14ac:dyDescent="0.3">
      <c r="A8" s="6" t="s">
        <v>13</v>
      </c>
      <c r="B8" s="8">
        <v>-470100</v>
      </c>
    </row>
    <row r="9" spans="1:2" x14ac:dyDescent="0.3">
      <c r="A9" s="6" t="s">
        <v>28</v>
      </c>
      <c r="B9" s="8">
        <v>-112100</v>
      </c>
    </row>
    <row r="10" spans="1:2" x14ac:dyDescent="0.3">
      <c r="A10" s="6" t="s">
        <v>19</v>
      </c>
      <c r="B10" s="8">
        <v>-69000</v>
      </c>
    </row>
    <row r="11" spans="1:2" x14ac:dyDescent="0.3">
      <c r="A11" s="5" t="s">
        <v>20</v>
      </c>
      <c r="B11" s="8">
        <v>-790750</v>
      </c>
    </row>
    <row r="12" spans="1:2" x14ac:dyDescent="0.3">
      <c r="A12" s="6" t="s">
        <v>13</v>
      </c>
      <c r="B12" s="8">
        <v>-402750</v>
      </c>
    </row>
    <row r="13" spans="1:2" x14ac:dyDescent="0.3">
      <c r="A13" s="6" t="s">
        <v>28</v>
      </c>
      <c r="B13" s="8">
        <v>-250000</v>
      </c>
    </row>
    <row r="14" spans="1:2" x14ac:dyDescent="0.3">
      <c r="A14" s="6" t="s">
        <v>19</v>
      </c>
      <c r="B14" s="8">
        <v>-138000</v>
      </c>
    </row>
    <row r="15" spans="1:2" x14ac:dyDescent="0.3">
      <c r="A15" s="5" t="s">
        <v>14</v>
      </c>
      <c r="B15" s="8">
        <v>-1182200</v>
      </c>
    </row>
    <row r="16" spans="1:2" x14ac:dyDescent="0.3">
      <c r="A16" s="6" t="s">
        <v>13</v>
      </c>
      <c r="B16" s="8">
        <v>-650700</v>
      </c>
    </row>
    <row r="17" spans="1:2" x14ac:dyDescent="0.3">
      <c r="A17" s="6" t="s">
        <v>28</v>
      </c>
      <c r="B17" s="8">
        <v>-57000</v>
      </c>
    </row>
    <row r="18" spans="1:2" x14ac:dyDescent="0.3">
      <c r="A18" s="6" t="s">
        <v>19</v>
      </c>
      <c r="B18" s="8">
        <v>-474500</v>
      </c>
    </row>
    <row r="19" spans="1:2" x14ac:dyDescent="0.3">
      <c r="A19" s="5" t="s">
        <v>36</v>
      </c>
      <c r="B19" s="8">
        <v>-645200</v>
      </c>
    </row>
    <row r="20" spans="1:2" x14ac:dyDescent="0.3">
      <c r="A20" s="6" t="s">
        <v>13</v>
      </c>
      <c r="B20" s="8">
        <v>-272000</v>
      </c>
    </row>
    <row r="21" spans="1:2" x14ac:dyDescent="0.3">
      <c r="A21" s="6" t="s">
        <v>28</v>
      </c>
      <c r="B21" s="8">
        <v>-198200</v>
      </c>
    </row>
    <row r="22" spans="1:2" x14ac:dyDescent="0.3">
      <c r="A22" s="6" t="s">
        <v>19</v>
      </c>
      <c r="B22" s="8">
        <v>-175000</v>
      </c>
    </row>
    <row r="23" spans="1:2" x14ac:dyDescent="0.3">
      <c r="A23" s="5" t="s">
        <v>50</v>
      </c>
      <c r="B23" s="8">
        <v>-238500</v>
      </c>
    </row>
    <row r="24" spans="1:2" x14ac:dyDescent="0.3">
      <c r="A24" s="6" t="s">
        <v>13</v>
      </c>
      <c r="B24" s="8">
        <v>-55500</v>
      </c>
    </row>
    <row r="25" spans="1:2" x14ac:dyDescent="0.3">
      <c r="A25" s="6" t="s">
        <v>28</v>
      </c>
      <c r="B25" s="8">
        <v>-115000</v>
      </c>
    </row>
    <row r="26" spans="1:2" x14ac:dyDescent="0.3">
      <c r="A26" s="6" t="s">
        <v>19</v>
      </c>
      <c r="B26" s="8">
        <v>-68000</v>
      </c>
    </row>
    <row r="27" spans="1:2" x14ac:dyDescent="0.3">
      <c r="A27" s="5" t="s">
        <v>139</v>
      </c>
      <c r="B27" s="8">
        <v>0</v>
      </c>
    </row>
    <row r="28" spans="1:2" x14ac:dyDescent="0.3">
      <c r="A28" s="6" t="s">
        <v>139</v>
      </c>
      <c r="B28" s="8">
        <v>0</v>
      </c>
    </row>
    <row r="29" spans="1:2" x14ac:dyDescent="0.3">
      <c r="A29" s="5" t="s">
        <v>134</v>
      </c>
      <c r="B29" s="8">
        <v>-3750350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B8715-2323-4F49-8973-E9E75E42553F}">
  <dimension ref="A1:M52"/>
  <sheetViews>
    <sheetView tabSelected="1" workbookViewId="0">
      <selection activeCell="P6" sqref="P6"/>
    </sheetView>
  </sheetViews>
  <sheetFormatPr defaultRowHeight="14.4" x14ac:dyDescent="0.3"/>
  <cols>
    <col min="1" max="1" width="11.21875" customWidth="1"/>
    <col min="2" max="2" width="8.88671875" customWidth="1"/>
    <col min="3" max="3" width="11" customWidth="1"/>
    <col min="4" max="4" width="9.5546875" customWidth="1"/>
    <col min="5" max="5" width="10.44140625" customWidth="1"/>
    <col min="6" max="6" width="10.21875" customWidth="1"/>
    <col min="7" max="7" width="11" customWidth="1"/>
    <col min="8" max="8" width="12.88671875" customWidth="1"/>
    <col min="9" max="9" width="10.44140625" customWidth="1"/>
    <col min="10" max="10" width="11.33203125" customWidth="1"/>
    <col min="11" max="11" width="10.44140625" customWidth="1"/>
    <col min="12" max="12" width="13.6640625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135</v>
      </c>
      <c r="K1" s="2" t="s">
        <v>136</v>
      </c>
      <c r="L1" s="2" t="s">
        <v>137</v>
      </c>
      <c r="M1" s="2" t="s">
        <v>138</v>
      </c>
    </row>
    <row r="2" spans="1:13" ht="28.8" x14ac:dyDescent="0.3">
      <c r="A2" s="1" t="s">
        <v>113</v>
      </c>
      <c r="B2" s="3">
        <v>46048</v>
      </c>
      <c r="C2" s="1" t="s">
        <v>114</v>
      </c>
      <c r="D2" s="1" t="s">
        <v>11</v>
      </c>
      <c r="E2" s="1" t="s">
        <v>12</v>
      </c>
      <c r="F2" s="1">
        <v>4</v>
      </c>
      <c r="G2" s="1">
        <v>89000</v>
      </c>
      <c r="H2" s="1" t="s">
        <v>13</v>
      </c>
      <c r="I2" s="1" t="s">
        <v>20</v>
      </c>
      <c r="J2" s="1">
        <f>F2*-G2</f>
        <v>-356000</v>
      </c>
      <c r="K2" s="1">
        <f>IF(J2&gt;100000,J2*10%,0)</f>
        <v>0</v>
      </c>
      <c r="L2" s="1">
        <f>J2-K2</f>
        <v>-356000</v>
      </c>
      <c r="M2" s="7">
        <f>L2*18</f>
        <v>-6408000</v>
      </c>
    </row>
    <row r="3" spans="1:13" x14ac:dyDescent="0.3">
      <c r="A3" s="1" t="s">
        <v>82</v>
      </c>
      <c r="B3" s="3">
        <v>46040</v>
      </c>
      <c r="C3" s="1" t="s">
        <v>83</v>
      </c>
      <c r="D3" s="1" t="s">
        <v>11</v>
      </c>
      <c r="E3" s="1" t="s">
        <v>12</v>
      </c>
      <c r="F3" s="1">
        <v>3</v>
      </c>
      <c r="G3" s="1">
        <v>88000</v>
      </c>
      <c r="H3" s="1" t="s">
        <v>13</v>
      </c>
      <c r="I3" s="1" t="s">
        <v>24</v>
      </c>
      <c r="J3" s="1">
        <f>F3*-G3</f>
        <v>-264000</v>
      </c>
      <c r="K3" s="1">
        <f>IF(J3&gt;100000,J3*10%,0)</f>
        <v>0</v>
      </c>
      <c r="L3" s="1">
        <f>J3-K3</f>
        <v>-264000</v>
      </c>
      <c r="M3" s="7">
        <f>L3*18</f>
        <v>-4752000</v>
      </c>
    </row>
    <row r="4" spans="1:13" ht="28.8" x14ac:dyDescent="0.3">
      <c r="A4" s="1" t="s">
        <v>131</v>
      </c>
      <c r="B4" s="3">
        <v>46052</v>
      </c>
      <c r="C4" s="1" t="s">
        <v>132</v>
      </c>
      <c r="D4" s="1" t="s">
        <v>11</v>
      </c>
      <c r="E4" s="1" t="s">
        <v>12</v>
      </c>
      <c r="F4" s="1">
        <v>2</v>
      </c>
      <c r="G4" s="1">
        <v>93000</v>
      </c>
      <c r="H4" s="1" t="s">
        <v>13</v>
      </c>
      <c r="I4" s="1" t="s">
        <v>14</v>
      </c>
      <c r="J4" s="1">
        <f>F4*-G4</f>
        <v>-186000</v>
      </c>
      <c r="K4" s="1">
        <f>IF(J4&gt;100000,J4*10%,0)</f>
        <v>0</v>
      </c>
      <c r="L4" s="1">
        <f>J4-K4</f>
        <v>-186000</v>
      </c>
      <c r="M4" s="7">
        <f>L4*18</f>
        <v>-3348000</v>
      </c>
    </row>
    <row r="5" spans="1:13" x14ac:dyDescent="0.3">
      <c r="A5" s="1" t="s">
        <v>101</v>
      </c>
      <c r="B5" s="3">
        <v>46045</v>
      </c>
      <c r="C5" s="1" t="s">
        <v>102</v>
      </c>
      <c r="D5" s="1" t="s">
        <v>11</v>
      </c>
      <c r="E5" s="1" t="s">
        <v>12</v>
      </c>
      <c r="F5" s="1">
        <v>2</v>
      </c>
      <c r="G5" s="1">
        <v>91000</v>
      </c>
      <c r="H5" s="1" t="s">
        <v>13</v>
      </c>
      <c r="I5" s="1" t="s">
        <v>36</v>
      </c>
      <c r="J5" s="1">
        <f>F5*-G5</f>
        <v>-182000</v>
      </c>
      <c r="K5" s="1">
        <f>IF(J5&gt;100000,J5*10%,0)</f>
        <v>0</v>
      </c>
      <c r="L5" s="1">
        <f>J5-K5</f>
        <v>-182000</v>
      </c>
      <c r="M5" s="7">
        <f>L5*18</f>
        <v>-3276000</v>
      </c>
    </row>
    <row r="6" spans="1:13" x14ac:dyDescent="0.3">
      <c r="A6" s="1" t="s">
        <v>51</v>
      </c>
      <c r="B6" s="3">
        <v>46033</v>
      </c>
      <c r="C6" s="1" t="s">
        <v>52</v>
      </c>
      <c r="D6" s="1" t="s">
        <v>11</v>
      </c>
      <c r="E6" s="1" t="s">
        <v>12</v>
      </c>
      <c r="F6" s="1">
        <v>2</v>
      </c>
      <c r="G6" s="1">
        <v>87000</v>
      </c>
      <c r="H6" s="1" t="s">
        <v>13</v>
      </c>
      <c r="I6" s="1" t="s">
        <v>14</v>
      </c>
      <c r="J6" s="1">
        <f>F6*-G6</f>
        <v>-174000</v>
      </c>
      <c r="K6" s="1">
        <f>IF(J6&gt;100000,J6*10%,0)</f>
        <v>0</v>
      </c>
      <c r="L6" s="1">
        <f>J6-K6</f>
        <v>-174000</v>
      </c>
      <c r="M6" s="7">
        <f>L6*18</f>
        <v>-3132000</v>
      </c>
    </row>
    <row r="7" spans="1:13" x14ac:dyDescent="0.3">
      <c r="A7" s="1" t="s">
        <v>9</v>
      </c>
      <c r="B7" s="3">
        <v>46023</v>
      </c>
      <c r="C7" s="1" t="s">
        <v>10</v>
      </c>
      <c r="D7" s="1" t="s">
        <v>11</v>
      </c>
      <c r="E7" s="1" t="s">
        <v>12</v>
      </c>
      <c r="F7" s="1">
        <v>2</v>
      </c>
      <c r="G7" s="1">
        <v>85000</v>
      </c>
      <c r="H7" s="1" t="s">
        <v>13</v>
      </c>
      <c r="I7" s="1" t="s">
        <v>14</v>
      </c>
      <c r="J7" s="1">
        <f>F7*-G7</f>
        <v>-170000</v>
      </c>
      <c r="K7" s="1">
        <f>IF(J7&gt;100000,J7*10%,0)</f>
        <v>0</v>
      </c>
      <c r="L7" s="1">
        <f>J7-K7</f>
        <v>-170000</v>
      </c>
      <c r="M7" s="7">
        <f>L7*18</f>
        <v>-3060000</v>
      </c>
    </row>
    <row r="8" spans="1:13" x14ac:dyDescent="0.3">
      <c r="A8" s="1" t="s">
        <v>60</v>
      </c>
      <c r="B8" s="3">
        <v>46035</v>
      </c>
      <c r="C8" s="1" t="s">
        <v>61</v>
      </c>
      <c r="D8" s="1" t="s">
        <v>27</v>
      </c>
      <c r="E8" s="1" t="s">
        <v>12</v>
      </c>
      <c r="F8" s="1">
        <v>4</v>
      </c>
      <c r="G8" s="1">
        <v>29000</v>
      </c>
      <c r="H8" s="1" t="s">
        <v>19</v>
      </c>
      <c r="I8" s="1" t="s">
        <v>36</v>
      </c>
      <c r="J8" s="1">
        <f>F8*-G8</f>
        <v>-116000</v>
      </c>
      <c r="K8" s="1">
        <f>IF(J8&gt;100000,J8*10%,0)</f>
        <v>0</v>
      </c>
      <c r="L8" s="1">
        <f>J8-K8</f>
        <v>-116000</v>
      </c>
      <c r="M8" s="7">
        <f>L8*18</f>
        <v>-2088000</v>
      </c>
    </row>
    <row r="9" spans="1:13" ht="28.8" x14ac:dyDescent="0.3">
      <c r="A9" s="1" t="s">
        <v>70</v>
      </c>
      <c r="B9" s="3">
        <v>46037</v>
      </c>
      <c r="C9" s="1" t="s">
        <v>71</v>
      </c>
      <c r="D9" s="1" t="s">
        <v>11</v>
      </c>
      <c r="E9" s="1" t="s">
        <v>12</v>
      </c>
      <c r="F9" s="1">
        <v>1</v>
      </c>
      <c r="G9" s="1">
        <v>92000</v>
      </c>
      <c r="H9" s="1" t="s">
        <v>13</v>
      </c>
      <c r="I9" s="1" t="s">
        <v>24</v>
      </c>
      <c r="J9" s="1">
        <f>F9*-G9</f>
        <v>-92000</v>
      </c>
      <c r="K9" s="1">
        <f>IF(J9&gt;100000,J9*10%,0)</f>
        <v>0</v>
      </c>
      <c r="L9" s="1">
        <f>J9-K9</f>
        <v>-92000</v>
      </c>
      <c r="M9" s="7">
        <f>L9*18</f>
        <v>-1656000</v>
      </c>
    </row>
    <row r="10" spans="1:13" x14ac:dyDescent="0.3">
      <c r="A10" s="1" t="s">
        <v>34</v>
      </c>
      <c r="B10" s="3">
        <v>46028</v>
      </c>
      <c r="C10" s="1" t="s">
        <v>35</v>
      </c>
      <c r="D10" s="1" t="s">
        <v>11</v>
      </c>
      <c r="E10" s="1" t="s">
        <v>12</v>
      </c>
      <c r="F10" s="1">
        <v>1</v>
      </c>
      <c r="G10" s="1">
        <v>90000</v>
      </c>
      <c r="H10" s="1" t="s">
        <v>13</v>
      </c>
      <c r="I10" s="1" t="s">
        <v>36</v>
      </c>
      <c r="J10" s="1">
        <f>F10*-G10</f>
        <v>-90000</v>
      </c>
      <c r="K10" s="1">
        <f>IF(J10&gt;100000,J10*10%,0)</f>
        <v>0</v>
      </c>
      <c r="L10" s="1">
        <f>J10-K10</f>
        <v>-90000</v>
      </c>
      <c r="M10" s="7">
        <f>L10*18</f>
        <v>-1620000</v>
      </c>
    </row>
    <row r="11" spans="1:13" x14ac:dyDescent="0.3">
      <c r="A11" s="1" t="s">
        <v>84</v>
      </c>
      <c r="B11" s="3">
        <v>46041</v>
      </c>
      <c r="C11" s="1" t="s">
        <v>85</v>
      </c>
      <c r="D11" s="1" t="s">
        <v>49</v>
      </c>
      <c r="E11" s="1" t="s">
        <v>12</v>
      </c>
      <c r="F11" s="1">
        <v>5</v>
      </c>
      <c r="G11" s="1">
        <v>18000</v>
      </c>
      <c r="H11" s="1" t="s">
        <v>19</v>
      </c>
      <c r="I11" s="1" t="s">
        <v>20</v>
      </c>
      <c r="J11" s="1">
        <f>F11*-G11</f>
        <v>-90000</v>
      </c>
      <c r="K11" s="1">
        <f>IF(J11&gt;100000,J11*10%,0)</f>
        <v>0</v>
      </c>
      <c r="L11" s="1">
        <f>J11-K11</f>
        <v>-90000</v>
      </c>
      <c r="M11" s="7">
        <f>L11*18</f>
        <v>-1620000</v>
      </c>
    </row>
    <row r="12" spans="1:13" x14ac:dyDescent="0.3">
      <c r="A12" s="1" t="s">
        <v>97</v>
      </c>
      <c r="B12" s="3">
        <v>46044</v>
      </c>
      <c r="C12" s="1" t="s">
        <v>98</v>
      </c>
      <c r="D12" s="1" t="s">
        <v>27</v>
      </c>
      <c r="E12" s="1" t="s">
        <v>12</v>
      </c>
      <c r="F12" s="1">
        <v>3</v>
      </c>
      <c r="G12" s="1">
        <v>30000</v>
      </c>
      <c r="H12" s="1" t="s">
        <v>19</v>
      </c>
      <c r="I12" s="1" t="s">
        <v>14</v>
      </c>
      <c r="J12" s="1">
        <f>F12*-G12</f>
        <v>-90000</v>
      </c>
      <c r="K12" s="1">
        <f>IF(J12&gt;100000,J12*10%,0)</f>
        <v>0</v>
      </c>
      <c r="L12" s="1">
        <f>J12-K12</f>
        <v>-90000</v>
      </c>
      <c r="M12" s="7">
        <f>L12*18</f>
        <v>-1620000</v>
      </c>
    </row>
    <row r="13" spans="1:13" x14ac:dyDescent="0.3">
      <c r="A13" s="1" t="s">
        <v>25</v>
      </c>
      <c r="B13" s="3">
        <v>46026</v>
      </c>
      <c r="C13" s="1" t="s">
        <v>26</v>
      </c>
      <c r="D13" s="1" t="s">
        <v>27</v>
      </c>
      <c r="E13" s="1" t="s">
        <v>12</v>
      </c>
      <c r="F13" s="1">
        <v>3</v>
      </c>
      <c r="G13" s="1">
        <v>28000</v>
      </c>
      <c r="H13" s="1" t="s">
        <v>28</v>
      </c>
      <c r="I13" s="1" t="s">
        <v>29</v>
      </c>
      <c r="J13" s="1">
        <f>F13*-G13</f>
        <v>-84000</v>
      </c>
      <c r="K13" s="1">
        <f>IF(J13&gt;100000,J13*10%,0)</f>
        <v>0</v>
      </c>
      <c r="L13" s="1">
        <f>J13-K13</f>
        <v>-84000</v>
      </c>
      <c r="M13" s="7">
        <f>L13*18</f>
        <v>-1512000</v>
      </c>
    </row>
    <row r="14" spans="1:13" ht="28.8" x14ac:dyDescent="0.3">
      <c r="A14" s="1" t="s">
        <v>66</v>
      </c>
      <c r="B14" s="3">
        <v>46036</v>
      </c>
      <c r="C14" s="1" t="s">
        <v>67</v>
      </c>
      <c r="D14" s="1" t="s">
        <v>43</v>
      </c>
      <c r="E14" s="1" t="s">
        <v>40</v>
      </c>
      <c r="F14" s="1">
        <v>10</v>
      </c>
      <c r="G14" s="1">
        <v>8200</v>
      </c>
      <c r="H14" s="1" t="s">
        <v>19</v>
      </c>
      <c r="I14" s="1" t="s">
        <v>14</v>
      </c>
      <c r="J14" s="1">
        <f>F14*-G14</f>
        <v>-82000</v>
      </c>
      <c r="K14" s="1">
        <f>IF(J14&gt;100000,J14*10%,0)</f>
        <v>0</v>
      </c>
      <c r="L14" s="1">
        <f>J14-K14</f>
        <v>-82000</v>
      </c>
      <c r="M14" s="7">
        <f>L14*18</f>
        <v>-1476000</v>
      </c>
    </row>
    <row r="15" spans="1:13" ht="28.8" x14ac:dyDescent="0.3">
      <c r="A15" s="1" t="s">
        <v>123</v>
      </c>
      <c r="B15" s="3">
        <v>46050</v>
      </c>
      <c r="C15" s="1" t="s">
        <v>124</v>
      </c>
      <c r="D15" s="1" t="s">
        <v>88</v>
      </c>
      <c r="E15" s="1" t="s">
        <v>40</v>
      </c>
      <c r="F15" s="1">
        <v>20</v>
      </c>
      <c r="G15" s="1">
        <v>4000</v>
      </c>
      <c r="H15" s="1" t="s">
        <v>28</v>
      </c>
      <c r="I15" s="1" t="s">
        <v>20</v>
      </c>
      <c r="J15" s="1">
        <f>F15*-G15</f>
        <v>-80000</v>
      </c>
      <c r="K15" s="1">
        <f>IF(J15&gt;100000,J15*10%,0)</f>
        <v>0</v>
      </c>
      <c r="L15" s="1">
        <f>J15-K15</f>
        <v>-80000</v>
      </c>
      <c r="M15" s="7">
        <f>L15*18</f>
        <v>-1440000</v>
      </c>
    </row>
    <row r="16" spans="1:13" ht="28.8" x14ac:dyDescent="0.3">
      <c r="A16" s="1" t="s">
        <v>103</v>
      </c>
      <c r="B16" s="3">
        <v>46045</v>
      </c>
      <c r="C16" s="1" t="s">
        <v>104</v>
      </c>
      <c r="D16" s="1" t="s">
        <v>49</v>
      </c>
      <c r="E16" s="1" t="s">
        <v>12</v>
      </c>
      <c r="F16" s="1">
        <v>4</v>
      </c>
      <c r="G16" s="1">
        <v>19000</v>
      </c>
      <c r="H16" s="1" t="s">
        <v>19</v>
      </c>
      <c r="I16" s="1" t="s">
        <v>14</v>
      </c>
      <c r="J16" s="1">
        <f>F16*-G16</f>
        <v>-76000</v>
      </c>
      <c r="K16" s="1">
        <f>IF(J16&gt;100000,J16*10%,0)</f>
        <v>0</v>
      </c>
      <c r="L16" s="1">
        <f>J16-K16</f>
        <v>-76000</v>
      </c>
      <c r="M16" s="7">
        <f>L16*18</f>
        <v>-1368000</v>
      </c>
    </row>
    <row r="17" spans="1:13" ht="28.8" x14ac:dyDescent="0.3">
      <c r="A17" s="1" t="s">
        <v>74</v>
      </c>
      <c r="B17" s="3">
        <v>46038</v>
      </c>
      <c r="C17" s="1" t="s">
        <v>75</v>
      </c>
      <c r="D17" s="1" t="s">
        <v>39</v>
      </c>
      <c r="E17" s="1" t="s">
        <v>40</v>
      </c>
      <c r="F17" s="1">
        <v>6</v>
      </c>
      <c r="G17" s="1">
        <v>12500</v>
      </c>
      <c r="H17" s="1" t="s">
        <v>28</v>
      </c>
      <c r="I17" s="1" t="s">
        <v>36</v>
      </c>
      <c r="J17" s="1">
        <f>F17*-G17</f>
        <v>-75000</v>
      </c>
      <c r="K17" s="1">
        <f>IF(J17&gt;100000,J17*10%,0)</f>
        <v>0</v>
      </c>
      <c r="L17" s="1">
        <f>J17-K17</f>
        <v>-75000</v>
      </c>
      <c r="M17" s="7">
        <f>L17*18</f>
        <v>-1350000</v>
      </c>
    </row>
    <row r="18" spans="1:13" ht="28.8" x14ac:dyDescent="0.3">
      <c r="A18" s="1" t="s">
        <v>30</v>
      </c>
      <c r="B18" s="3">
        <v>46027</v>
      </c>
      <c r="C18" s="1" t="s">
        <v>31</v>
      </c>
      <c r="D18" s="1" t="s">
        <v>32</v>
      </c>
      <c r="E18" s="1" t="s">
        <v>33</v>
      </c>
      <c r="F18" s="1">
        <v>2</v>
      </c>
      <c r="G18" s="1">
        <v>35000</v>
      </c>
      <c r="H18" s="1" t="s">
        <v>19</v>
      </c>
      <c r="I18" s="1" t="s">
        <v>14</v>
      </c>
      <c r="J18" s="1">
        <f>F18*-G18</f>
        <v>-70000</v>
      </c>
      <c r="K18" s="1">
        <f>IF(J18&gt;100000,J18*10%,0)</f>
        <v>0</v>
      </c>
      <c r="L18" s="1">
        <f>J18-K18</f>
        <v>-70000</v>
      </c>
      <c r="M18" s="7">
        <f>L18*18</f>
        <v>-1260000</v>
      </c>
    </row>
    <row r="19" spans="1:13" x14ac:dyDescent="0.3">
      <c r="A19" s="1" t="s">
        <v>72</v>
      </c>
      <c r="B19" s="3">
        <v>46038</v>
      </c>
      <c r="C19" s="1" t="s">
        <v>73</v>
      </c>
      <c r="D19" s="1" t="s">
        <v>32</v>
      </c>
      <c r="E19" s="1" t="s">
        <v>33</v>
      </c>
      <c r="F19" s="1">
        <v>2</v>
      </c>
      <c r="G19" s="1">
        <v>35000</v>
      </c>
      <c r="H19" s="1" t="s">
        <v>19</v>
      </c>
      <c r="I19" s="1" t="s">
        <v>14</v>
      </c>
      <c r="J19" s="1">
        <f>F19*-G19</f>
        <v>-70000</v>
      </c>
      <c r="K19" s="1">
        <f>IF(J19&gt;100000,J19*10%,0)</f>
        <v>0</v>
      </c>
      <c r="L19" s="1">
        <f>J19-K19</f>
        <v>-70000</v>
      </c>
      <c r="M19" s="7">
        <f>L19*18</f>
        <v>-1260000</v>
      </c>
    </row>
    <row r="20" spans="1:13" ht="28.8" x14ac:dyDescent="0.3">
      <c r="A20" s="1" t="s">
        <v>93</v>
      </c>
      <c r="B20" s="3">
        <v>46043</v>
      </c>
      <c r="C20" s="1" t="s">
        <v>94</v>
      </c>
      <c r="D20" s="1" t="s">
        <v>57</v>
      </c>
      <c r="E20" s="1" t="s">
        <v>40</v>
      </c>
      <c r="F20" s="1">
        <v>8</v>
      </c>
      <c r="G20" s="1">
        <v>8700</v>
      </c>
      <c r="H20" s="1" t="s">
        <v>28</v>
      </c>
      <c r="I20" s="1" t="s">
        <v>24</v>
      </c>
      <c r="J20" s="1">
        <f>F20*-G20</f>
        <v>-69600</v>
      </c>
      <c r="K20" s="1">
        <f>IF(J20&gt;100000,J20*10%,0)</f>
        <v>0</v>
      </c>
      <c r="L20" s="1">
        <f>J20-K20</f>
        <v>-69600</v>
      </c>
      <c r="M20" s="7">
        <f>L20*18</f>
        <v>-1252800</v>
      </c>
    </row>
    <row r="21" spans="1:13" x14ac:dyDescent="0.3">
      <c r="A21" s="1" t="s">
        <v>127</v>
      </c>
      <c r="B21" s="3">
        <v>46051</v>
      </c>
      <c r="C21" s="1" t="s">
        <v>128</v>
      </c>
      <c r="D21" s="1" t="s">
        <v>32</v>
      </c>
      <c r="E21" s="1" t="s">
        <v>33</v>
      </c>
      <c r="F21" s="1">
        <v>2</v>
      </c>
      <c r="G21" s="1">
        <v>34500</v>
      </c>
      <c r="H21" s="1" t="s">
        <v>19</v>
      </c>
      <c r="I21" s="1" t="s">
        <v>24</v>
      </c>
      <c r="J21" s="1">
        <f>F21*-G21</f>
        <v>-69000</v>
      </c>
      <c r="K21" s="1">
        <f>IF(J21&gt;100000,J21*10%,0)</f>
        <v>0</v>
      </c>
      <c r="L21" s="1">
        <f>J21-K21</f>
        <v>-69000</v>
      </c>
      <c r="M21" s="7">
        <f>L21*18</f>
        <v>-1242000</v>
      </c>
    </row>
    <row r="22" spans="1:13" x14ac:dyDescent="0.3">
      <c r="A22" s="1" t="s">
        <v>91</v>
      </c>
      <c r="B22" s="3">
        <v>46042</v>
      </c>
      <c r="C22" s="1" t="s">
        <v>92</v>
      </c>
      <c r="D22" s="1" t="s">
        <v>32</v>
      </c>
      <c r="E22" s="1" t="s">
        <v>33</v>
      </c>
      <c r="F22" s="1">
        <v>2</v>
      </c>
      <c r="G22" s="1">
        <v>34000</v>
      </c>
      <c r="H22" s="1" t="s">
        <v>19</v>
      </c>
      <c r="I22" s="1" t="s">
        <v>50</v>
      </c>
      <c r="J22" s="1">
        <f>F22*-G22</f>
        <v>-68000</v>
      </c>
      <c r="K22" s="1">
        <f>IF(J22&gt;100000,J22*10%,0)</f>
        <v>0</v>
      </c>
      <c r="L22" s="1">
        <f>J22-K22</f>
        <v>-68000</v>
      </c>
      <c r="M22" s="7">
        <f>L22*18</f>
        <v>-1224000</v>
      </c>
    </row>
    <row r="23" spans="1:13" ht="28.8" x14ac:dyDescent="0.3">
      <c r="A23" s="1" t="s">
        <v>105</v>
      </c>
      <c r="B23" s="3">
        <v>46046</v>
      </c>
      <c r="C23" s="1" t="s">
        <v>106</v>
      </c>
      <c r="D23" s="1" t="s">
        <v>43</v>
      </c>
      <c r="E23" s="1" t="s">
        <v>40</v>
      </c>
      <c r="F23" s="1">
        <v>8</v>
      </c>
      <c r="G23" s="1">
        <v>8500</v>
      </c>
      <c r="H23" s="1" t="s">
        <v>28</v>
      </c>
      <c r="I23" s="1" t="s">
        <v>20</v>
      </c>
      <c r="J23" s="1">
        <f>F23*-G23</f>
        <v>-68000</v>
      </c>
      <c r="K23" s="1">
        <f>IF(J23&gt;100000,J23*10%,0)</f>
        <v>0</v>
      </c>
      <c r="L23" s="1">
        <f>J23-K23</f>
        <v>-68000</v>
      </c>
      <c r="M23" s="7">
        <f>L23*18</f>
        <v>-1224000</v>
      </c>
    </row>
    <row r="24" spans="1:13" x14ac:dyDescent="0.3">
      <c r="A24" s="1" t="s">
        <v>125</v>
      </c>
      <c r="B24" s="3">
        <v>46051</v>
      </c>
      <c r="C24" s="1" t="s">
        <v>126</v>
      </c>
      <c r="D24" s="1" t="s">
        <v>46</v>
      </c>
      <c r="E24" s="1" t="s">
        <v>18</v>
      </c>
      <c r="F24" s="1">
        <v>15</v>
      </c>
      <c r="G24" s="1">
        <v>4300</v>
      </c>
      <c r="H24" s="1" t="s">
        <v>13</v>
      </c>
      <c r="I24" s="1" t="s">
        <v>14</v>
      </c>
      <c r="J24" s="1">
        <f>F24*-G24</f>
        <v>-64500</v>
      </c>
      <c r="K24" s="1">
        <f>IF(J24&gt;100000,J24*10%,0)</f>
        <v>0</v>
      </c>
      <c r="L24" s="1">
        <f>J24-K24</f>
        <v>-64500</v>
      </c>
      <c r="M24" s="7">
        <f>L24*18</f>
        <v>-1161000</v>
      </c>
    </row>
    <row r="25" spans="1:13" ht="28.8" x14ac:dyDescent="0.3">
      <c r="A25" s="1" t="s">
        <v>86</v>
      </c>
      <c r="B25" s="3">
        <v>46041</v>
      </c>
      <c r="C25" s="1" t="s">
        <v>87</v>
      </c>
      <c r="D25" s="1" t="s">
        <v>88</v>
      </c>
      <c r="E25" s="1" t="s">
        <v>40</v>
      </c>
      <c r="F25" s="1">
        <v>15</v>
      </c>
      <c r="G25" s="1">
        <v>4200</v>
      </c>
      <c r="H25" s="1" t="s">
        <v>28</v>
      </c>
      <c r="I25" s="1" t="s">
        <v>36</v>
      </c>
      <c r="J25" s="1">
        <f>F25*-G25</f>
        <v>-63000</v>
      </c>
      <c r="K25" s="1">
        <f>IF(J25&gt;100000,J25*10%,0)</f>
        <v>0</v>
      </c>
      <c r="L25" s="1">
        <f>J25-K25</f>
        <v>-63000</v>
      </c>
      <c r="M25" s="7">
        <f>L25*18</f>
        <v>-1134000</v>
      </c>
    </row>
    <row r="26" spans="1:13" x14ac:dyDescent="0.3">
      <c r="A26" s="1" t="s">
        <v>111</v>
      </c>
      <c r="B26" s="3">
        <v>46047</v>
      </c>
      <c r="C26" s="1" t="s">
        <v>112</v>
      </c>
      <c r="D26" s="1" t="s">
        <v>39</v>
      </c>
      <c r="E26" s="1" t="s">
        <v>40</v>
      </c>
      <c r="F26" s="1">
        <v>5</v>
      </c>
      <c r="G26" s="1">
        <v>12200</v>
      </c>
      <c r="H26" s="1" t="s">
        <v>28</v>
      </c>
      <c r="I26" s="1" t="s">
        <v>50</v>
      </c>
      <c r="J26" s="1">
        <f>F26*-G26</f>
        <v>-61000</v>
      </c>
      <c r="K26" s="1">
        <f>IF(J26&gt;100000,J26*10%,0)</f>
        <v>0</v>
      </c>
      <c r="L26" s="1">
        <f>J26-K26</f>
        <v>-61000</v>
      </c>
      <c r="M26" s="7">
        <f>L26*18</f>
        <v>-1098000</v>
      </c>
    </row>
    <row r="27" spans="1:13" ht="28.8" x14ac:dyDescent="0.3">
      <c r="A27" s="1" t="s">
        <v>129</v>
      </c>
      <c r="B27" s="3">
        <v>46052</v>
      </c>
      <c r="C27" s="1" t="s">
        <v>130</v>
      </c>
      <c r="D27" s="1" t="s">
        <v>57</v>
      </c>
      <c r="E27" s="1" t="s">
        <v>40</v>
      </c>
      <c r="F27" s="1">
        <v>7</v>
      </c>
      <c r="G27" s="1">
        <v>8600</v>
      </c>
      <c r="H27" s="1" t="s">
        <v>28</v>
      </c>
      <c r="I27" s="1" t="s">
        <v>36</v>
      </c>
      <c r="J27" s="1">
        <f>F27*-G27</f>
        <v>-60200</v>
      </c>
      <c r="K27" s="1">
        <f>IF(J27&gt;100000,J27*10%,0)</f>
        <v>0</v>
      </c>
      <c r="L27" s="1">
        <f>J27-K27</f>
        <v>-60200</v>
      </c>
      <c r="M27" s="7">
        <f>L27*18</f>
        <v>-1083600</v>
      </c>
    </row>
    <row r="28" spans="1:13" ht="28.8" x14ac:dyDescent="0.3">
      <c r="A28" s="1" t="s">
        <v>115</v>
      </c>
      <c r="B28" s="3">
        <v>46048</v>
      </c>
      <c r="C28" s="1" t="s">
        <v>116</v>
      </c>
      <c r="D28" s="1" t="s">
        <v>27</v>
      </c>
      <c r="E28" s="1" t="s">
        <v>12</v>
      </c>
      <c r="F28" s="1">
        <v>2</v>
      </c>
      <c r="G28" s="1">
        <v>29500</v>
      </c>
      <c r="H28" s="1" t="s">
        <v>19</v>
      </c>
      <c r="I28" s="1" t="s">
        <v>36</v>
      </c>
      <c r="J28" s="1">
        <f>F28*-G28</f>
        <v>-59000</v>
      </c>
      <c r="K28" s="1">
        <f>IF(J28&gt;100000,J28*10%,0)</f>
        <v>0</v>
      </c>
      <c r="L28" s="1">
        <f>J28-K28</f>
        <v>-59000</v>
      </c>
      <c r="M28" s="7">
        <f>L28*18</f>
        <v>-1062000</v>
      </c>
    </row>
    <row r="29" spans="1:13" x14ac:dyDescent="0.3">
      <c r="A29" s="1" t="s">
        <v>78</v>
      </c>
      <c r="B29" s="3">
        <v>46039</v>
      </c>
      <c r="C29" s="1" t="s">
        <v>79</v>
      </c>
      <c r="D29" s="1" t="s">
        <v>27</v>
      </c>
      <c r="E29" s="1" t="s">
        <v>12</v>
      </c>
      <c r="F29" s="1">
        <v>2</v>
      </c>
      <c r="G29" s="1">
        <v>28000</v>
      </c>
      <c r="H29" s="1" t="s">
        <v>19</v>
      </c>
      <c r="I29" s="1" t="s">
        <v>29</v>
      </c>
      <c r="J29" s="1">
        <f>F29*-G29</f>
        <v>-56000</v>
      </c>
      <c r="K29" s="1">
        <f>IF(J29&gt;100000,J29*10%,0)</f>
        <v>0</v>
      </c>
      <c r="L29" s="1">
        <f>J29-K29</f>
        <v>-56000</v>
      </c>
      <c r="M29" s="7">
        <f>L29*18</f>
        <v>-1008000</v>
      </c>
    </row>
    <row r="30" spans="1:13" ht="28.8" x14ac:dyDescent="0.3">
      <c r="A30" s="1" t="s">
        <v>64</v>
      </c>
      <c r="B30" s="3">
        <v>46036</v>
      </c>
      <c r="C30" s="1" t="s">
        <v>65</v>
      </c>
      <c r="D30" s="1" t="s">
        <v>49</v>
      </c>
      <c r="E30" s="1" t="s">
        <v>12</v>
      </c>
      <c r="F30" s="1">
        <v>3</v>
      </c>
      <c r="G30" s="1">
        <v>18500</v>
      </c>
      <c r="H30" s="1" t="s">
        <v>13</v>
      </c>
      <c r="I30" s="1" t="s">
        <v>50</v>
      </c>
      <c r="J30" s="1">
        <f>F30*-G30</f>
        <v>-55500</v>
      </c>
      <c r="K30" s="1">
        <f>IF(J30&gt;100000,J30*10%,0)</f>
        <v>0</v>
      </c>
      <c r="L30" s="1">
        <f>J30-K30</f>
        <v>-55500</v>
      </c>
      <c r="M30" s="7">
        <f>L30*18</f>
        <v>-999000</v>
      </c>
    </row>
    <row r="31" spans="1:13" ht="28.8" x14ac:dyDescent="0.3">
      <c r="A31" s="1" t="s">
        <v>47</v>
      </c>
      <c r="B31" s="3">
        <v>46032</v>
      </c>
      <c r="C31" s="1" t="s">
        <v>48</v>
      </c>
      <c r="D31" s="1" t="s">
        <v>49</v>
      </c>
      <c r="E31" s="1" t="s">
        <v>12</v>
      </c>
      <c r="F31" s="1">
        <v>3</v>
      </c>
      <c r="G31" s="1">
        <v>18000</v>
      </c>
      <c r="H31" s="1" t="s">
        <v>28</v>
      </c>
      <c r="I31" s="1" t="s">
        <v>50</v>
      </c>
      <c r="J31" s="1">
        <f>F31*-G31</f>
        <v>-54000</v>
      </c>
      <c r="K31" s="1">
        <f>IF(J31&gt;100000,J31*10%,0)</f>
        <v>0</v>
      </c>
      <c r="L31" s="1">
        <f>J31-K31</f>
        <v>-54000</v>
      </c>
      <c r="M31" s="7">
        <f>L31*18</f>
        <v>-972000</v>
      </c>
    </row>
    <row r="32" spans="1:13" x14ac:dyDescent="0.3">
      <c r="A32" s="1" t="s">
        <v>68</v>
      </c>
      <c r="B32" s="3">
        <v>46037</v>
      </c>
      <c r="C32" s="1" t="s">
        <v>69</v>
      </c>
      <c r="D32" s="1" t="s">
        <v>46</v>
      </c>
      <c r="E32" s="1" t="s">
        <v>18</v>
      </c>
      <c r="F32" s="1">
        <v>12</v>
      </c>
      <c r="G32" s="1">
        <v>4500</v>
      </c>
      <c r="H32" s="1" t="s">
        <v>28</v>
      </c>
      <c r="I32" s="1" t="s">
        <v>20</v>
      </c>
      <c r="J32" s="1">
        <f>F32*-G32</f>
        <v>-54000</v>
      </c>
      <c r="K32" s="1">
        <f>IF(J32&gt;100000,J32*10%,0)</f>
        <v>0</v>
      </c>
      <c r="L32" s="1">
        <f>J32-K32</f>
        <v>-54000</v>
      </c>
      <c r="M32" s="7">
        <f>L32*18</f>
        <v>-972000</v>
      </c>
    </row>
    <row r="33" spans="1:13" ht="28.8" x14ac:dyDescent="0.3">
      <c r="A33" s="1" t="s">
        <v>121</v>
      </c>
      <c r="B33" s="3">
        <v>46050</v>
      </c>
      <c r="C33" s="1" t="s">
        <v>122</v>
      </c>
      <c r="D33" s="1" t="s">
        <v>49</v>
      </c>
      <c r="E33" s="1" t="s">
        <v>12</v>
      </c>
      <c r="F33" s="1">
        <v>3</v>
      </c>
      <c r="G33" s="1">
        <v>17500</v>
      </c>
      <c r="H33" s="1" t="s">
        <v>19</v>
      </c>
      <c r="I33" s="1" t="s">
        <v>29</v>
      </c>
      <c r="J33" s="1">
        <f>F33*-G33</f>
        <v>-52500</v>
      </c>
      <c r="K33" s="1">
        <f>IF(J33&gt;100000,J33*10%,0)</f>
        <v>0</v>
      </c>
      <c r="L33" s="1">
        <f>J33-K33</f>
        <v>-52500</v>
      </c>
      <c r="M33" s="7">
        <f>L33*18</f>
        <v>-945000</v>
      </c>
    </row>
    <row r="34" spans="1:13" ht="28.8" x14ac:dyDescent="0.3">
      <c r="A34" s="1" t="s">
        <v>41</v>
      </c>
      <c r="B34" s="3">
        <v>46030</v>
      </c>
      <c r="C34" s="1" t="s">
        <v>42</v>
      </c>
      <c r="D34" s="1" t="s">
        <v>43</v>
      </c>
      <c r="E34" s="1" t="s">
        <v>40</v>
      </c>
      <c r="F34" s="1">
        <v>6</v>
      </c>
      <c r="G34" s="1">
        <v>8500</v>
      </c>
      <c r="H34" s="1" t="s">
        <v>19</v>
      </c>
      <c r="I34" s="1" t="s">
        <v>14</v>
      </c>
      <c r="J34" s="1">
        <f>F34*-G34</f>
        <v>-51000</v>
      </c>
      <c r="K34" s="1">
        <f>IF(J34&gt;100000,J34*10%,0)</f>
        <v>0</v>
      </c>
      <c r="L34" s="1">
        <f>J34-K34</f>
        <v>-51000</v>
      </c>
      <c r="M34" s="7">
        <f>L34*18</f>
        <v>-918000</v>
      </c>
    </row>
    <row r="35" spans="1:13" x14ac:dyDescent="0.3">
      <c r="A35" s="1" t="s">
        <v>37</v>
      </c>
      <c r="B35" s="3">
        <v>46029</v>
      </c>
      <c r="C35" s="1" t="s">
        <v>38</v>
      </c>
      <c r="D35" s="1" t="s">
        <v>39</v>
      </c>
      <c r="E35" s="1" t="s">
        <v>40</v>
      </c>
      <c r="F35" s="1">
        <v>4</v>
      </c>
      <c r="G35" s="1">
        <v>12000</v>
      </c>
      <c r="H35" s="1" t="s">
        <v>28</v>
      </c>
      <c r="I35" s="1" t="s">
        <v>20</v>
      </c>
      <c r="J35" s="1">
        <f>F35*-G35</f>
        <v>-48000</v>
      </c>
      <c r="K35" s="1">
        <f>IF(J35&gt;100000,J35*10%,0)</f>
        <v>0</v>
      </c>
      <c r="L35" s="1">
        <f>J35-K35</f>
        <v>-48000</v>
      </c>
      <c r="M35" s="7">
        <f>L35*18</f>
        <v>-864000</v>
      </c>
    </row>
    <row r="36" spans="1:13" ht="28.8" x14ac:dyDescent="0.3">
      <c r="A36" s="1" t="s">
        <v>55</v>
      </c>
      <c r="B36" s="3">
        <v>46034</v>
      </c>
      <c r="C36" s="1" t="s">
        <v>56</v>
      </c>
      <c r="D36" s="1" t="s">
        <v>57</v>
      </c>
      <c r="E36" s="1" t="s">
        <v>40</v>
      </c>
      <c r="F36" s="1">
        <v>5</v>
      </c>
      <c r="G36" s="1">
        <v>8500</v>
      </c>
      <c r="H36" s="1" t="s">
        <v>28</v>
      </c>
      <c r="I36" s="1" t="s">
        <v>24</v>
      </c>
      <c r="J36" s="1">
        <f>F36*-G36</f>
        <v>-42500</v>
      </c>
      <c r="K36" s="1">
        <f>IF(J36&gt;100000,J36*10%,0)</f>
        <v>0</v>
      </c>
      <c r="L36" s="1">
        <f>J36-K36</f>
        <v>-42500</v>
      </c>
      <c r="M36" s="7">
        <f>L36*18</f>
        <v>-765000</v>
      </c>
    </row>
    <row r="37" spans="1:13" ht="28.8" x14ac:dyDescent="0.3">
      <c r="A37" s="1" t="s">
        <v>107</v>
      </c>
      <c r="B37" s="3">
        <v>46046</v>
      </c>
      <c r="C37" s="1" t="s">
        <v>108</v>
      </c>
      <c r="D37" s="1" t="s">
        <v>46</v>
      </c>
      <c r="E37" s="1" t="s">
        <v>18</v>
      </c>
      <c r="F37" s="1">
        <v>9</v>
      </c>
      <c r="G37" s="1">
        <v>4400</v>
      </c>
      <c r="H37" s="1" t="s">
        <v>13</v>
      </c>
      <c r="I37" s="1" t="s">
        <v>24</v>
      </c>
      <c r="J37" s="1">
        <f>F37*-G37</f>
        <v>-39600</v>
      </c>
      <c r="K37" s="1">
        <f>IF(J37&gt;100000,J37*10%,0)</f>
        <v>0</v>
      </c>
      <c r="L37" s="1">
        <f>J37-K37</f>
        <v>-39600</v>
      </c>
      <c r="M37" s="7">
        <f>L37*18</f>
        <v>-712800</v>
      </c>
    </row>
    <row r="38" spans="1:13" ht="28.8" x14ac:dyDescent="0.3">
      <c r="A38" s="1" t="s">
        <v>44</v>
      </c>
      <c r="B38" s="3">
        <v>46031</v>
      </c>
      <c r="C38" s="1" t="s">
        <v>45</v>
      </c>
      <c r="D38" s="1" t="s">
        <v>46</v>
      </c>
      <c r="E38" s="1" t="s">
        <v>18</v>
      </c>
      <c r="F38" s="1">
        <v>8</v>
      </c>
      <c r="G38" s="1">
        <v>4500</v>
      </c>
      <c r="H38" s="1" t="s">
        <v>13</v>
      </c>
      <c r="I38" s="1" t="s">
        <v>24</v>
      </c>
      <c r="J38" s="1">
        <f>F38*-G38</f>
        <v>-36000</v>
      </c>
      <c r="K38" s="1">
        <f>IF(J38&gt;100000,J38*10%,0)</f>
        <v>0</v>
      </c>
      <c r="L38" s="1">
        <f>J38-K38</f>
        <v>-36000</v>
      </c>
      <c r="M38" s="7">
        <f>L38*18</f>
        <v>-648000</v>
      </c>
    </row>
    <row r="39" spans="1:13" ht="28.8" x14ac:dyDescent="0.3">
      <c r="A39" s="1" t="s">
        <v>53</v>
      </c>
      <c r="B39" s="3">
        <v>46033</v>
      </c>
      <c r="C39" s="1" t="s">
        <v>54</v>
      </c>
      <c r="D39" s="1" t="s">
        <v>32</v>
      </c>
      <c r="E39" s="1" t="s">
        <v>33</v>
      </c>
      <c r="F39" s="1">
        <v>1</v>
      </c>
      <c r="G39" s="1">
        <v>36000</v>
      </c>
      <c r="H39" s="1" t="s">
        <v>19</v>
      </c>
      <c r="I39" s="1" t="s">
        <v>20</v>
      </c>
      <c r="J39" s="1">
        <f>F39*-G39</f>
        <v>-36000</v>
      </c>
      <c r="K39" s="1">
        <f>IF(J39&gt;100000,J39*10%,0)</f>
        <v>0</v>
      </c>
      <c r="L39" s="1">
        <f>J39-K39</f>
        <v>-36000</v>
      </c>
      <c r="M39" s="7">
        <f>L39*18</f>
        <v>-648000</v>
      </c>
    </row>
    <row r="40" spans="1:13" ht="28.8" x14ac:dyDescent="0.3">
      <c r="A40" s="1" t="s">
        <v>109</v>
      </c>
      <c r="B40" s="3">
        <v>46047</v>
      </c>
      <c r="C40" s="1" t="s">
        <v>110</v>
      </c>
      <c r="D40" s="1" t="s">
        <v>32</v>
      </c>
      <c r="E40" s="1" t="s">
        <v>33</v>
      </c>
      <c r="F40" s="1">
        <v>1</v>
      </c>
      <c r="G40" s="1">
        <v>35500</v>
      </c>
      <c r="H40" s="1" t="s">
        <v>19</v>
      </c>
      <c r="I40" s="1" t="s">
        <v>14</v>
      </c>
      <c r="J40" s="1">
        <f>F40*-G40</f>
        <v>-35500</v>
      </c>
      <c r="K40" s="1">
        <f>IF(J40&gt;100000,J40*10%,0)</f>
        <v>0</v>
      </c>
      <c r="L40" s="1">
        <f>J40-K40</f>
        <v>-35500</v>
      </c>
      <c r="M40" s="7">
        <f>L40*18</f>
        <v>-639000</v>
      </c>
    </row>
    <row r="41" spans="1:13" x14ac:dyDescent="0.3">
      <c r="A41" s="1" t="s">
        <v>117</v>
      </c>
      <c r="B41" s="3">
        <v>46049</v>
      </c>
      <c r="C41" s="1" t="s">
        <v>118</v>
      </c>
      <c r="D41" s="1" t="s">
        <v>17</v>
      </c>
      <c r="E41" s="1" t="s">
        <v>18</v>
      </c>
      <c r="F41" s="1">
        <v>30</v>
      </c>
      <c r="G41" s="1">
        <v>1100</v>
      </c>
      <c r="H41" s="1" t="s">
        <v>28</v>
      </c>
      <c r="I41" s="1" t="s">
        <v>14</v>
      </c>
      <c r="J41" s="1">
        <f>F41*-G41</f>
        <v>-33000</v>
      </c>
      <c r="K41" s="1">
        <f>IF(J41&gt;100000,J41*10%,0)</f>
        <v>0</v>
      </c>
      <c r="L41" s="1">
        <f>J41-K41</f>
        <v>-33000</v>
      </c>
      <c r="M41" s="7">
        <f>L41*18</f>
        <v>-594000</v>
      </c>
    </row>
    <row r="42" spans="1:13" ht="28.8" x14ac:dyDescent="0.3">
      <c r="A42" s="1" t="s">
        <v>89</v>
      </c>
      <c r="B42" s="3">
        <v>46042</v>
      </c>
      <c r="C42" s="1" t="s">
        <v>90</v>
      </c>
      <c r="D42" s="1" t="s">
        <v>46</v>
      </c>
      <c r="E42" s="1" t="s">
        <v>18</v>
      </c>
      <c r="F42" s="1">
        <v>7</v>
      </c>
      <c r="G42" s="1">
        <v>4600</v>
      </c>
      <c r="H42" s="1" t="s">
        <v>13</v>
      </c>
      <c r="I42" s="1" t="s">
        <v>14</v>
      </c>
      <c r="J42" s="1">
        <f>F42*-G42</f>
        <v>-32200</v>
      </c>
      <c r="K42" s="1">
        <f>IF(J42&gt;100000,J42*10%,0)</f>
        <v>0</v>
      </c>
      <c r="L42" s="1">
        <f>J42-K42</f>
        <v>-32200</v>
      </c>
      <c r="M42" s="7">
        <f>L42*18</f>
        <v>-579600</v>
      </c>
    </row>
    <row r="43" spans="1:13" ht="28.8" x14ac:dyDescent="0.3">
      <c r="A43" s="1" t="s">
        <v>99</v>
      </c>
      <c r="B43" s="3">
        <v>46044</v>
      </c>
      <c r="C43" s="1" t="s">
        <v>100</v>
      </c>
      <c r="D43" s="1" t="s">
        <v>23</v>
      </c>
      <c r="E43" s="1" t="s">
        <v>18</v>
      </c>
      <c r="F43" s="1">
        <v>12</v>
      </c>
      <c r="G43" s="1">
        <v>2500</v>
      </c>
      <c r="H43" s="1" t="s">
        <v>28</v>
      </c>
      <c r="I43" s="1" t="s">
        <v>29</v>
      </c>
      <c r="J43" s="1">
        <f>F43*-G43</f>
        <v>-30000</v>
      </c>
      <c r="K43" s="1">
        <f>IF(J43&gt;100000,J43*10%,0)</f>
        <v>0</v>
      </c>
      <c r="L43" s="1">
        <f>J43-K43</f>
        <v>-30000</v>
      </c>
      <c r="M43" s="7">
        <f>L43*18</f>
        <v>-540000</v>
      </c>
    </row>
    <row r="44" spans="1:13" ht="28.8" x14ac:dyDescent="0.3">
      <c r="A44" s="1" t="s">
        <v>95</v>
      </c>
      <c r="B44" s="3">
        <v>46043</v>
      </c>
      <c r="C44" s="1" t="s">
        <v>96</v>
      </c>
      <c r="D44" s="1" t="s">
        <v>17</v>
      </c>
      <c r="E44" s="1" t="s">
        <v>18</v>
      </c>
      <c r="F44" s="1">
        <v>25</v>
      </c>
      <c r="G44" s="1">
        <v>1150</v>
      </c>
      <c r="H44" s="1" t="s">
        <v>13</v>
      </c>
      <c r="I44" s="1" t="s">
        <v>20</v>
      </c>
      <c r="J44" s="1">
        <f>F44*-G44</f>
        <v>-28750</v>
      </c>
      <c r="K44" s="1">
        <f>IF(J44&gt;100000,J44*10%,0)</f>
        <v>0</v>
      </c>
      <c r="L44" s="1">
        <f>J44-K44</f>
        <v>-28750</v>
      </c>
      <c r="M44" s="7">
        <f>L44*18</f>
        <v>-517500</v>
      </c>
    </row>
    <row r="45" spans="1:13" ht="28.8" x14ac:dyDescent="0.3">
      <c r="A45" s="1" t="s">
        <v>119</v>
      </c>
      <c r="B45" s="3">
        <v>46049</v>
      </c>
      <c r="C45" s="1" t="s">
        <v>120</v>
      </c>
      <c r="D45" s="1" t="s">
        <v>23</v>
      </c>
      <c r="E45" s="1" t="s">
        <v>18</v>
      </c>
      <c r="F45" s="1">
        <v>10</v>
      </c>
      <c r="G45" s="1">
        <v>2600</v>
      </c>
      <c r="H45" s="1" t="s">
        <v>13</v>
      </c>
      <c r="I45" s="1" t="s">
        <v>24</v>
      </c>
      <c r="J45" s="1">
        <f>F45*-G45</f>
        <v>-26000</v>
      </c>
      <c r="K45" s="1">
        <f>IF(J45&gt;100000,J45*10%,0)</f>
        <v>0</v>
      </c>
      <c r="L45" s="1">
        <f>J45-K45</f>
        <v>-26000</v>
      </c>
      <c r="M45" s="7">
        <f>L45*18</f>
        <v>-468000</v>
      </c>
    </row>
    <row r="46" spans="1:13" ht="28.8" x14ac:dyDescent="0.3">
      <c r="A46" s="1" t="s">
        <v>58</v>
      </c>
      <c r="B46" s="3">
        <v>46034</v>
      </c>
      <c r="C46" s="1" t="s">
        <v>59</v>
      </c>
      <c r="D46" s="1" t="s">
        <v>17</v>
      </c>
      <c r="E46" s="1" t="s">
        <v>18</v>
      </c>
      <c r="F46" s="1">
        <v>20</v>
      </c>
      <c r="G46" s="1">
        <v>1200</v>
      </c>
      <c r="H46" s="1" t="s">
        <v>13</v>
      </c>
      <c r="I46" s="1" t="s">
        <v>14</v>
      </c>
      <c r="J46" s="1">
        <f>F46*-G46</f>
        <v>-24000</v>
      </c>
      <c r="K46" s="1">
        <f>IF(J46&gt;100000,J46*10%,0)</f>
        <v>0</v>
      </c>
      <c r="L46" s="1">
        <f>J46-K46</f>
        <v>-24000</v>
      </c>
      <c r="M46" s="7">
        <f>L46*18</f>
        <v>-432000</v>
      </c>
    </row>
    <row r="47" spans="1:13" x14ac:dyDescent="0.3">
      <c r="A47" s="1" t="s">
        <v>80</v>
      </c>
      <c r="B47" s="3">
        <v>46040</v>
      </c>
      <c r="C47" s="1" t="s">
        <v>81</v>
      </c>
      <c r="D47" s="1" t="s">
        <v>23</v>
      </c>
      <c r="E47" s="1" t="s">
        <v>18</v>
      </c>
      <c r="F47" s="1">
        <v>10</v>
      </c>
      <c r="G47" s="1">
        <v>2400</v>
      </c>
      <c r="H47" s="1" t="s">
        <v>28</v>
      </c>
      <c r="I47" s="1" t="s">
        <v>14</v>
      </c>
      <c r="J47" s="1">
        <f>F47*-G47</f>
        <v>-24000</v>
      </c>
      <c r="K47" s="1">
        <f>IF(J47&gt;100000,J47*10%,0)</f>
        <v>0</v>
      </c>
      <c r="L47" s="1">
        <f>J47-K47</f>
        <v>-24000</v>
      </c>
      <c r="M47" s="7">
        <f>L47*18</f>
        <v>-432000</v>
      </c>
    </row>
    <row r="48" spans="1:13" ht="28.8" x14ac:dyDescent="0.3">
      <c r="A48" s="1" t="s">
        <v>62</v>
      </c>
      <c r="B48" s="3">
        <v>46035</v>
      </c>
      <c r="C48" s="1" t="s">
        <v>63</v>
      </c>
      <c r="D48" s="1" t="s">
        <v>23</v>
      </c>
      <c r="E48" s="1" t="s">
        <v>18</v>
      </c>
      <c r="F48" s="1">
        <v>8</v>
      </c>
      <c r="G48" s="1">
        <v>2500</v>
      </c>
      <c r="H48" s="1" t="s">
        <v>28</v>
      </c>
      <c r="I48" s="1" t="s">
        <v>29</v>
      </c>
      <c r="J48" s="1">
        <f>F48*-G48</f>
        <v>-20000</v>
      </c>
      <c r="K48" s="1">
        <f>IF(J48&gt;100000,J48*10%,0)</f>
        <v>0</v>
      </c>
      <c r="L48" s="1">
        <f>J48-K48</f>
        <v>-20000</v>
      </c>
      <c r="M48" s="7">
        <f>L48*18</f>
        <v>-360000</v>
      </c>
    </row>
    <row r="49" spans="1:13" ht="28.8" x14ac:dyDescent="0.3">
      <c r="A49" s="1" t="s">
        <v>76</v>
      </c>
      <c r="B49" s="3">
        <v>46039</v>
      </c>
      <c r="C49" s="1" t="s">
        <v>77</v>
      </c>
      <c r="D49" s="1" t="s">
        <v>17</v>
      </c>
      <c r="E49" s="1" t="s">
        <v>18</v>
      </c>
      <c r="F49" s="1">
        <v>15</v>
      </c>
      <c r="G49" s="1">
        <v>1200</v>
      </c>
      <c r="H49" s="1" t="s">
        <v>13</v>
      </c>
      <c r="I49" s="1" t="s">
        <v>20</v>
      </c>
      <c r="J49" s="1">
        <f>F49*-G49</f>
        <v>-18000</v>
      </c>
      <c r="K49" s="1">
        <f>IF(J49&gt;100000,J49*10%,0)</f>
        <v>0</v>
      </c>
      <c r="L49" s="1">
        <f>J49-K49</f>
        <v>-18000</v>
      </c>
      <c r="M49" s="7">
        <f>L49*18</f>
        <v>-324000</v>
      </c>
    </row>
    <row r="50" spans="1:13" x14ac:dyDescent="0.3">
      <c r="A50" s="1" t="s">
        <v>21</v>
      </c>
      <c r="B50" s="3">
        <v>46025</v>
      </c>
      <c r="C50" s="1" t="s">
        <v>22</v>
      </c>
      <c r="D50" s="1" t="s">
        <v>23</v>
      </c>
      <c r="E50" s="1" t="s">
        <v>18</v>
      </c>
      <c r="F50" s="1">
        <v>5</v>
      </c>
      <c r="G50" s="1">
        <v>2500</v>
      </c>
      <c r="H50" s="1" t="s">
        <v>13</v>
      </c>
      <c r="I50" s="1" t="s">
        <v>24</v>
      </c>
      <c r="J50" s="1">
        <f>F50*-G50</f>
        <v>-12500</v>
      </c>
      <c r="K50" s="1">
        <f>IF(J50&gt;100000,J50*10%,0)</f>
        <v>0</v>
      </c>
      <c r="L50" s="1">
        <f>J50-K50</f>
        <v>-12500</v>
      </c>
      <c r="M50" s="7">
        <f>L50*18</f>
        <v>-225000</v>
      </c>
    </row>
    <row r="51" spans="1:13" x14ac:dyDescent="0.3">
      <c r="A51" s="1" t="s">
        <v>15</v>
      </c>
      <c r="B51" s="3">
        <v>46024</v>
      </c>
      <c r="C51" s="1" t="s">
        <v>16</v>
      </c>
      <c r="D51" s="1" t="s">
        <v>17</v>
      </c>
      <c r="E51" s="1" t="s">
        <v>18</v>
      </c>
      <c r="F51" s="1">
        <v>10</v>
      </c>
      <c r="G51" s="1">
        <v>1200</v>
      </c>
      <c r="H51" s="1" t="s">
        <v>19</v>
      </c>
      <c r="I51" s="1" t="s">
        <v>20</v>
      </c>
      <c r="J51" s="1">
        <f>F51*-G51</f>
        <v>-12000</v>
      </c>
      <c r="K51" s="1">
        <f>IF(J51&gt;100000,J51*10%,0)</f>
        <v>0</v>
      </c>
      <c r="L51" s="1">
        <f>J51-K51</f>
        <v>-12000</v>
      </c>
      <c r="M51" s="7">
        <f>L51*18</f>
        <v>-216000</v>
      </c>
    </row>
    <row r="52" spans="1:13" x14ac:dyDescent="0.3">
      <c r="A52" s="1"/>
      <c r="B52" s="3"/>
      <c r="C52" s="1"/>
      <c r="D52" s="1"/>
      <c r="E52" s="1"/>
      <c r="F52" s="1">
        <f>F2*G2</f>
        <v>356000</v>
      </c>
      <c r="G52" s="1"/>
      <c r="H52" s="1"/>
      <c r="I52" s="1"/>
      <c r="J52" s="1">
        <f>F52*-G52</f>
        <v>0</v>
      </c>
      <c r="K52" s="1">
        <f>IF(J52&gt;100000,J52*10%,0)</f>
        <v>0</v>
      </c>
      <c r="L52" s="1">
        <f>J52-K52</f>
        <v>0</v>
      </c>
      <c r="M52" s="7">
        <f>L52*18</f>
        <v>0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Zoya Sumair</dc:creator>
  <cp:lastModifiedBy>Zoya Sumair</cp:lastModifiedBy>
  <dcterms:created xsi:type="dcterms:W3CDTF">2026-07-01T16:31:28Z</dcterms:created>
  <dcterms:modified xsi:type="dcterms:W3CDTF">2026-07-01T17:18:49Z</dcterms:modified>
</cp:coreProperties>
</file>